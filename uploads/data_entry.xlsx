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3250" windowHeight="13170"/>
  </bookViews>
  <sheets>
    <sheet name="SPOS" sheetId="1" r:id="rId1"/>
    <sheet name="NPP" sheetId="12" r:id="rId2"/>
    <sheet name="NTP" sheetId="13" r:id="rId3"/>
    <sheet name="user" sheetId="2" r:id="rId4"/>
    <sheet name="wilayahfix" sheetId="11" r:id="rId5"/>
  </sheets>
  <definedNames>
    <definedName name="ExternalData_1" localSheetId="4" hidden="1">wilayahfix!$B$1:$D$307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04" i="13" l="1"/>
  <c r="K502" i="13"/>
  <c r="J502" i="13"/>
  <c r="K500" i="13"/>
  <c r="J500" i="13"/>
  <c r="K498" i="13"/>
  <c r="J498" i="13"/>
  <c r="K496" i="13"/>
  <c r="J496" i="13"/>
  <c r="K494" i="13"/>
  <c r="J494" i="13"/>
  <c r="K492" i="13"/>
  <c r="J492" i="13"/>
  <c r="K490" i="13"/>
  <c r="J490" i="13"/>
  <c r="K488" i="13"/>
  <c r="J488" i="13"/>
  <c r="K486" i="13"/>
  <c r="J486" i="13"/>
  <c r="K484" i="13"/>
  <c r="J484" i="13"/>
  <c r="K482" i="13"/>
  <c r="J482" i="13"/>
  <c r="K480" i="13"/>
  <c r="J480" i="13"/>
  <c r="K478" i="13"/>
  <c r="J478" i="13"/>
  <c r="K476" i="13"/>
  <c r="J476" i="13"/>
  <c r="K474" i="13"/>
  <c r="J474" i="13"/>
  <c r="K472" i="13"/>
  <c r="J472" i="13"/>
  <c r="K470" i="13"/>
  <c r="J470" i="13"/>
  <c r="K468" i="13"/>
  <c r="J468" i="13"/>
  <c r="K466" i="13"/>
  <c r="J466" i="13"/>
  <c r="K464" i="13"/>
  <c r="J464" i="13"/>
  <c r="K462" i="13"/>
  <c r="J462" i="13"/>
  <c r="K460" i="13"/>
  <c r="J460" i="13"/>
  <c r="K458" i="13"/>
  <c r="J458" i="13"/>
  <c r="K456" i="13"/>
  <c r="J456" i="13"/>
  <c r="K454" i="13"/>
  <c r="J454" i="13"/>
  <c r="K452" i="13"/>
  <c r="J452" i="13"/>
  <c r="K450" i="13"/>
  <c r="J450" i="13"/>
  <c r="K448" i="13"/>
  <c r="J448" i="13"/>
  <c r="K446" i="13"/>
  <c r="J446" i="13"/>
  <c r="K444" i="13"/>
  <c r="J444" i="13"/>
  <c r="K442" i="13"/>
  <c r="J442" i="13"/>
  <c r="K440" i="13"/>
  <c r="J440" i="13"/>
  <c r="K438" i="13"/>
  <c r="J438" i="13"/>
  <c r="K436" i="13"/>
  <c r="J436" i="13"/>
  <c r="K434" i="13"/>
  <c r="J434" i="13"/>
  <c r="K432" i="13"/>
  <c r="J432" i="13"/>
  <c r="K430" i="13"/>
  <c r="J430" i="13"/>
  <c r="K428" i="13"/>
  <c r="J428" i="13"/>
  <c r="K426" i="13"/>
  <c r="J426" i="13"/>
  <c r="K424" i="13"/>
  <c r="J424" i="13"/>
  <c r="K422" i="13"/>
  <c r="J422" i="13"/>
  <c r="K420" i="13"/>
  <c r="J420" i="13"/>
  <c r="K418" i="13"/>
  <c r="J418" i="13"/>
  <c r="K416" i="13"/>
  <c r="J416" i="13"/>
  <c r="K414" i="13"/>
  <c r="J414" i="13"/>
  <c r="K412" i="13"/>
  <c r="J412" i="13"/>
  <c r="K410" i="13"/>
  <c r="J410" i="13"/>
  <c r="K408" i="13"/>
  <c r="J408" i="13"/>
  <c r="K406" i="13"/>
  <c r="J406" i="13"/>
  <c r="K404" i="13"/>
  <c r="J404" i="13"/>
  <c r="K402" i="13"/>
  <c r="J402" i="13"/>
  <c r="K400" i="13"/>
  <c r="J400" i="13"/>
  <c r="K398" i="13"/>
  <c r="J398" i="13"/>
  <c r="K396" i="13"/>
  <c r="J396" i="13"/>
  <c r="K394" i="13"/>
  <c r="J394" i="13"/>
  <c r="K392" i="13"/>
  <c r="J392" i="13"/>
  <c r="K390" i="13"/>
  <c r="J390" i="13"/>
  <c r="K388" i="13"/>
  <c r="J388" i="13"/>
  <c r="K386" i="13"/>
  <c r="J386" i="13"/>
  <c r="K384" i="13"/>
  <c r="J384" i="13"/>
  <c r="K382" i="13"/>
  <c r="J382" i="13"/>
  <c r="K380" i="13"/>
  <c r="J380" i="13"/>
  <c r="K378" i="13"/>
  <c r="J378" i="13"/>
  <c r="K376" i="13"/>
  <c r="J376" i="13"/>
  <c r="K374" i="13"/>
  <c r="J374" i="13"/>
  <c r="K372" i="13"/>
  <c r="J372" i="13"/>
  <c r="K370" i="13"/>
  <c r="J370" i="13"/>
  <c r="K368" i="13"/>
  <c r="J368" i="13"/>
  <c r="K366" i="13"/>
  <c r="J366" i="13"/>
  <c r="K364" i="13"/>
  <c r="J364" i="13"/>
  <c r="K362" i="13"/>
  <c r="J362" i="13"/>
  <c r="K360" i="13"/>
  <c r="J360" i="13"/>
  <c r="K358" i="13"/>
  <c r="J358" i="13"/>
  <c r="K356" i="13"/>
  <c r="J356" i="13"/>
  <c r="K354" i="13"/>
  <c r="J354" i="13"/>
  <c r="K352" i="13"/>
  <c r="J352" i="13"/>
  <c r="K350" i="13"/>
  <c r="J350" i="13"/>
  <c r="K348" i="13"/>
  <c r="J348" i="13"/>
  <c r="K346" i="13"/>
  <c r="J346" i="13"/>
  <c r="K344" i="13"/>
  <c r="J344" i="13"/>
  <c r="K342" i="13"/>
  <c r="J342" i="13"/>
  <c r="K340" i="13"/>
  <c r="J340" i="13"/>
  <c r="K338" i="13"/>
  <c r="J338" i="13"/>
  <c r="K336" i="13"/>
  <c r="J336" i="13"/>
  <c r="K334" i="13"/>
  <c r="J334" i="13"/>
  <c r="K332" i="13"/>
  <c r="J332" i="13"/>
  <c r="K330" i="13"/>
  <c r="J330" i="13"/>
  <c r="K328" i="13"/>
  <c r="J328" i="13"/>
  <c r="K326" i="13"/>
  <c r="J326" i="13"/>
  <c r="K324" i="13"/>
  <c r="J324" i="13"/>
  <c r="K322" i="13"/>
  <c r="J322" i="13"/>
  <c r="K320" i="13"/>
  <c r="J320" i="13"/>
  <c r="K318" i="13"/>
  <c r="J318" i="13"/>
  <c r="K316" i="13"/>
  <c r="J316" i="13"/>
  <c r="K314" i="13"/>
  <c r="J314" i="13"/>
  <c r="K312" i="13"/>
  <c r="J312" i="13"/>
  <c r="K310" i="13"/>
  <c r="J310" i="13"/>
  <c r="K308" i="13"/>
  <c r="J308" i="13"/>
  <c r="K306" i="13"/>
  <c r="J306" i="13"/>
  <c r="K304" i="13"/>
  <c r="J304" i="13"/>
  <c r="K302" i="13"/>
  <c r="J302" i="13"/>
  <c r="K300" i="13"/>
  <c r="J300" i="13"/>
  <c r="K298" i="13"/>
  <c r="J298" i="13"/>
  <c r="K296" i="13"/>
  <c r="J296" i="13"/>
  <c r="K294" i="13"/>
  <c r="J294" i="13"/>
  <c r="K292" i="13"/>
  <c r="J292" i="13"/>
  <c r="K290" i="13"/>
  <c r="J290" i="13"/>
  <c r="K288" i="13"/>
  <c r="J288" i="13"/>
  <c r="K286" i="13"/>
  <c r="J286" i="13"/>
  <c r="K284" i="13"/>
  <c r="J284" i="13"/>
  <c r="K282" i="13"/>
  <c r="J282" i="13"/>
  <c r="K280" i="13"/>
  <c r="J280" i="13"/>
  <c r="K278" i="13"/>
  <c r="J278" i="13"/>
  <c r="K276" i="13"/>
  <c r="J276" i="13"/>
  <c r="K274" i="13"/>
  <c r="J274" i="13"/>
  <c r="K272" i="13"/>
  <c r="J272" i="13"/>
  <c r="K270" i="13"/>
  <c r="J270" i="13"/>
  <c r="K268" i="13"/>
  <c r="J268" i="13"/>
  <c r="K266" i="13"/>
  <c r="J266" i="13"/>
  <c r="K264" i="13"/>
  <c r="J264" i="13"/>
  <c r="K262" i="13"/>
  <c r="J262" i="13"/>
  <c r="K260" i="13"/>
  <c r="J260" i="13"/>
  <c r="K258" i="13"/>
  <c r="J258" i="13"/>
  <c r="K256" i="13"/>
  <c r="J256" i="13"/>
  <c r="K254" i="13"/>
  <c r="J254" i="13"/>
  <c r="K252" i="13"/>
  <c r="J252" i="13"/>
  <c r="K250" i="13"/>
  <c r="J250" i="13"/>
  <c r="K248" i="13"/>
  <c r="J248" i="13"/>
  <c r="K246" i="13"/>
  <c r="J246" i="13"/>
  <c r="K244" i="13"/>
  <c r="J244" i="13"/>
  <c r="K242" i="13"/>
  <c r="J242" i="13"/>
  <c r="K240" i="13"/>
  <c r="J240" i="13"/>
  <c r="K238" i="13"/>
  <c r="J238" i="13"/>
  <c r="K236" i="13"/>
  <c r="J236" i="13"/>
  <c r="K234" i="13"/>
  <c r="J234" i="13"/>
  <c r="K232" i="13"/>
  <c r="J232" i="13"/>
  <c r="K230" i="13"/>
  <c r="J230" i="13"/>
  <c r="K228" i="13"/>
  <c r="J228" i="13"/>
  <c r="K226" i="13"/>
  <c r="J226" i="13"/>
  <c r="K224" i="13"/>
  <c r="J224" i="13"/>
  <c r="K222" i="13"/>
  <c r="J222" i="13"/>
  <c r="K220" i="13"/>
  <c r="J220" i="13"/>
  <c r="K218" i="13"/>
  <c r="J218" i="13"/>
  <c r="K216" i="13"/>
  <c r="J216" i="13"/>
  <c r="K214" i="13"/>
  <c r="J214" i="13"/>
  <c r="K212" i="13"/>
  <c r="J212" i="13"/>
  <c r="K210" i="13"/>
  <c r="J210" i="13"/>
  <c r="K208" i="13"/>
  <c r="J208" i="13"/>
  <c r="K206" i="13"/>
  <c r="J206" i="13"/>
  <c r="K204" i="13"/>
  <c r="J204" i="13"/>
  <c r="K202" i="13"/>
  <c r="J202" i="13"/>
  <c r="K200" i="13"/>
  <c r="J200" i="13"/>
  <c r="K198" i="13"/>
  <c r="J198" i="13"/>
  <c r="K196" i="13"/>
  <c r="J196" i="13"/>
  <c r="K194" i="13"/>
  <c r="J194" i="13"/>
  <c r="K192" i="13"/>
  <c r="J192" i="13"/>
  <c r="K190" i="13"/>
  <c r="J190" i="13"/>
  <c r="K188" i="13"/>
  <c r="J188" i="13"/>
  <c r="K186" i="13"/>
  <c r="J186" i="13"/>
  <c r="K184" i="13"/>
  <c r="J184" i="13"/>
  <c r="K182" i="13"/>
  <c r="J182" i="13"/>
  <c r="K180" i="13"/>
  <c r="J180" i="13"/>
  <c r="K178" i="13"/>
  <c r="J178" i="13"/>
  <c r="K176" i="13"/>
  <c r="J176" i="13"/>
  <c r="K174" i="13"/>
  <c r="J174" i="13"/>
  <c r="K172" i="13"/>
  <c r="J172" i="13"/>
  <c r="K170" i="13"/>
  <c r="J170" i="13"/>
  <c r="K168" i="13"/>
  <c r="J168" i="13"/>
  <c r="K166" i="13"/>
  <c r="J166" i="13"/>
  <c r="K164" i="13"/>
  <c r="J164" i="13"/>
  <c r="K162" i="13"/>
  <c r="J162" i="13"/>
  <c r="K160" i="13"/>
  <c r="J160" i="13"/>
  <c r="K158" i="13"/>
  <c r="J158" i="13"/>
  <c r="K156" i="13"/>
  <c r="J156" i="13"/>
  <c r="K154" i="13"/>
  <c r="J154" i="13"/>
  <c r="K152" i="13"/>
  <c r="J152" i="13"/>
  <c r="K150" i="13"/>
  <c r="J150" i="13"/>
  <c r="K148" i="13"/>
  <c r="J148" i="13"/>
  <c r="K146" i="13"/>
  <c r="J146" i="13"/>
  <c r="K144" i="13"/>
  <c r="J144" i="13"/>
  <c r="K142" i="13"/>
  <c r="J142" i="13"/>
  <c r="K140" i="13"/>
  <c r="J140" i="13"/>
  <c r="K138" i="13"/>
  <c r="J138" i="13"/>
  <c r="K136" i="13"/>
  <c r="J136" i="13"/>
  <c r="K134" i="13"/>
  <c r="J134" i="13"/>
  <c r="K132" i="13"/>
  <c r="J132" i="13"/>
  <c r="K130" i="13"/>
  <c r="J130" i="13"/>
  <c r="K128" i="13"/>
  <c r="J128" i="13"/>
  <c r="K126" i="13"/>
  <c r="J126" i="13"/>
  <c r="K124" i="13"/>
  <c r="J124" i="13"/>
  <c r="K122" i="13"/>
  <c r="J122" i="13"/>
  <c r="K120" i="13"/>
  <c r="J120" i="13"/>
  <c r="K118" i="13"/>
  <c r="J118" i="13"/>
  <c r="K116" i="13"/>
  <c r="J116" i="13"/>
  <c r="K114" i="13"/>
  <c r="J114" i="13"/>
  <c r="K112" i="13"/>
  <c r="J112" i="13"/>
  <c r="K110" i="13"/>
  <c r="J110" i="13"/>
  <c r="K108" i="13"/>
  <c r="J108" i="13"/>
  <c r="K106" i="13"/>
  <c r="J106" i="13"/>
  <c r="K104" i="13"/>
  <c r="J104" i="13"/>
  <c r="K102" i="13"/>
  <c r="J102" i="13"/>
  <c r="K100" i="13"/>
  <c r="J100" i="13"/>
  <c r="K98" i="13"/>
  <c r="J98" i="13"/>
  <c r="K96" i="13"/>
  <c r="J96" i="13"/>
  <c r="K94" i="13"/>
  <c r="J94" i="13"/>
  <c r="K92" i="13"/>
  <c r="J92" i="13"/>
  <c r="K90" i="13"/>
  <c r="J90" i="13"/>
  <c r="K88" i="13"/>
  <c r="J88" i="13"/>
  <c r="K86" i="13"/>
  <c r="J86" i="13"/>
  <c r="K84" i="13"/>
  <c r="J84" i="13"/>
  <c r="K82" i="13"/>
  <c r="J82" i="13"/>
  <c r="K80" i="13"/>
  <c r="J80" i="13"/>
  <c r="K78" i="13"/>
  <c r="J78" i="13"/>
  <c r="K76" i="13"/>
  <c r="J76" i="13"/>
  <c r="K74" i="13"/>
  <c r="J74" i="13"/>
  <c r="K72" i="13"/>
  <c r="J72" i="13"/>
  <c r="K70" i="13"/>
  <c r="J70" i="13"/>
  <c r="K68" i="13"/>
  <c r="J68" i="13"/>
  <c r="K66" i="13"/>
  <c r="J66" i="13"/>
  <c r="K64" i="13"/>
  <c r="J64" i="13"/>
  <c r="K62" i="13"/>
  <c r="J62" i="13"/>
  <c r="K60" i="13"/>
  <c r="J60" i="13"/>
  <c r="K58" i="13"/>
  <c r="J58" i="13"/>
  <c r="K56" i="13"/>
  <c r="J56" i="13"/>
  <c r="K54" i="13"/>
  <c r="J54" i="13"/>
  <c r="K52" i="13"/>
  <c r="J52" i="13"/>
  <c r="K50" i="13"/>
  <c r="J50" i="13"/>
  <c r="K48" i="13"/>
  <c r="J48" i="13"/>
  <c r="K46" i="13"/>
  <c r="J46" i="13"/>
  <c r="K44" i="13"/>
  <c r="J44" i="13"/>
  <c r="K42" i="13"/>
  <c r="J42" i="13"/>
  <c r="K40" i="13"/>
  <c r="J40" i="13"/>
  <c r="K38" i="13"/>
  <c r="J38" i="13"/>
  <c r="K36" i="13"/>
  <c r="J36" i="13"/>
  <c r="K34" i="13"/>
  <c r="J34" i="13"/>
  <c r="K32" i="13"/>
  <c r="J32" i="13"/>
  <c r="K30" i="13"/>
  <c r="J30" i="13"/>
  <c r="K28" i="13"/>
  <c r="J28" i="13"/>
  <c r="K26" i="13"/>
  <c r="J26" i="13"/>
  <c r="K24" i="13"/>
  <c r="J24" i="13"/>
  <c r="K22" i="13"/>
  <c r="J22" i="13"/>
  <c r="K20" i="13"/>
  <c r="J20" i="13"/>
  <c r="K18" i="13"/>
  <c r="J18" i="13"/>
  <c r="K16" i="13"/>
  <c r="J16" i="13"/>
  <c r="K14" i="13"/>
  <c r="J14" i="13"/>
  <c r="K12" i="13"/>
  <c r="J12" i="13"/>
  <c r="K10" i="13"/>
  <c r="J10" i="13"/>
  <c r="K8" i="13"/>
  <c r="J8" i="13"/>
  <c r="K6" i="13"/>
  <c r="J6" i="13"/>
  <c r="K4" i="13"/>
  <c r="J4" i="13"/>
  <c r="K2" i="13"/>
  <c r="J2" i="13"/>
  <c r="K504" i="12" l="1"/>
  <c r="K502" i="12"/>
  <c r="J502" i="12"/>
  <c r="K500" i="12"/>
  <c r="J500" i="12"/>
  <c r="K498" i="12"/>
  <c r="J498" i="12"/>
  <c r="K496" i="12"/>
  <c r="J496" i="12"/>
  <c r="K494" i="12"/>
  <c r="J494" i="12"/>
  <c r="K492" i="12"/>
  <c r="J492" i="12"/>
  <c r="K490" i="12"/>
  <c r="J490" i="12"/>
  <c r="K488" i="12"/>
  <c r="J488" i="12"/>
  <c r="K486" i="12"/>
  <c r="J486" i="12"/>
  <c r="K484" i="12"/>
  <c r="J484" i="12"/>
  <c r="K482" i="12"/>
  <c r="J482" i="12"/>
  <c r="K480" i="12"/>
  <c r="J480" i="12"/>
  <c r="K478" i="12"/>
  <c r="J478" i="12"/>
  <c r="K476" i="12"/>
  <c r="J476" i="12"/>
  <c r="K474" i="12"/>
  <c r="J474" i="12"/>
  <c r="K472" i="12"/>
  <c r="J472" i="12"/>
  <c r="K470" i="12"/>
  <c r="J470" i="12"/>
  <c r="K468" i="12"/>
  <c r="J468" i="12"/>
  <c r="K466" i="12"/>
  <c r="J466" i="12"/>
  <c r="K464" i="12"/>
  <c r="J464" i="12"/>
  <c r="K462" i="12"/>
  <c r="J462" i="12"/>
  <c r="K460" i="12"/>
  <c r="J460" i="12"/>
  <c r="K458" i="12"/>
  <c r="J458" i="12"/>
  <c r="K456" i="12"/>
  <c r="J456" i="12"/>
  <c r="K454" i="12"/>
  <c r="J454" i="12"/>
  <c r="K452" i="12"/>
  <c r="J452" i="12"/>
  <c r="K450" i="12"/>
  <c r="J450" i="12"/>
  <c r="K448" i="12"/>
  <c r="J448" i="12"/>
  <c r="K446" i="12"/>
  <c r="J446" i="12"/>
  <c r="K444" i="12"/>
  <c r="J444" i="12"/>
  <c r="K442" i="12"/>
  <c r="J442" i="12"/>
  <c r="K440" i="12"/>
  <c r="J440" i="12"/>
  <c r="K438" i="12"/>
  <c r="J438" i="12"/>
  <c r="K436" i="12"/>
  <c r="J436" i="12"/>
  <c r="K434" i="12"/>
  <c r="J434" i="12"/>
  <c r="K432" i="12"/>
  <c r="J432" i="12"/>
  <c r="K430" i="12"/>
  <c r="J430" i="12"/>
  <c r="K428" i="12"/>
  <c r="J428" i="12"/>
  <c r="K426" i="12"/>
  <c r="J426" i="12"/>
  <c r="K424" i="12"/>
  <c r="J424" i="12"/>
  <c r="K422" i="12"/>
  <c r="J422" i="12"/>
  <c r="K420" i="12"/>
  <c r="J420" i="12"/>
  <c r="K418" i="12"/>
  <c r="J418" i="12"/>
  <c r="K416" i="12"/>
  <c r="J416" i="12"/>
  <c r="K414" i="12"/>
  <c r="J414" i="12"/>
  <c r="K412" i="12"/>
  <c r="J412" i="12"/>
  <c r="K410" i="12"/>
  <c r="J410" i="12"/>
  <c r="K408" i="12"/>
  <c r="J408" i="12"/>
  <c r="K406" i="12"/>
  <c r="J406" i="12"/>
  <c r="K404" i="12"/>
  <c r="J404" i="12"/>
  <c r="K402" i="12"/>
  <c r="J402" i="12"/>
  <c r="K400" i="12"/>
  <c r="J400" i="12"/>
  <c r="K398" i="12"/>
  <c r="J398" i="12"/>
  <c r="K396" i="12"/>
  <c r="J396" i="12"/>
  <c r="K394" i="12"/>
  <c r="J394" i="12"/>
  <c r="K392" i="12"/>
  <c r="J392" i="12"/>
  <c r="K390" i="12"/>
  <c r="J390" i="12"/>
  <c r="K388" i="12"/>
  <c r="J388" i="12"/>
  <c r="K386" i="12"/>
  <c r="J386" i="12"/>
  <c r="K384" i="12"/>
  <c r="J384" i="12"/>
  <c r="K382" i="12"/>
  <c r="J382" i="12"/>
  <c r="K380" i="12"/>
  <c r="J380" i="12"/>
  <c r="K378" i="12"/>
  <c r="J378" i="12"/>
  <c r="K376" i="12"/>
  <c r="J376" i="12"/>
  <c r="K374" i="12"/>
  <c r="J374" i="12"/>
  <c r="K372" i="12"/>
  <c r="J372" i="12"/>
  <c r="K370" i="12"/>
  <c r="J370" i="12"/>
  <c r="K368" i="12"/>
  <c r="J368" i="12"/>
  <c r="K366" i="12"/>
  <c r="J366" i="12"/>
  <c r="K364" i="12"/>
  <c r="J364" i="12"/>
  <c r="K362" i="12"/>
  <c r="J362" i="12"/>
  <c r="K360" i="12"/>
  <c r="J360" i="12"/>
  <c r="K358" i="12"/>
  <c r="J358" i="12"/>
  <c r="K356" i="12"/>
  <c r="J356" i="12"/>
  <c r="K354" i="12"/>
  <c r="J354" i="12"/>
  <c r="K352" i="12"/>
  <c r="J352" i="12"/>
  <c r="K350" i="12"/>
  <c r="J350" i="12"/>
  <c r="K348" i="12"/>
  <c r="J348" i="12"/>
  <c r="K346" i="12"/>
  <c r="J346" i="12"/>
  <c r="K344" i="12"/>
  <c r="J344" i="12"/>
  <c r="K342" i="12"/>
  <c r="J342" i="12"/>
  <c r="K340" i="12"/>
  <c r="J340" i="12"/>
  <c r="K338" i="12"/>
  <c r="J338" i="12"/>
  <c r="K336" i="12"/>
  <c r="J336" i="12"/>
  <c r="K334" i="12"/>
  <c r="J334" i="12"/>
  <c r="K332" i="12"/>
  <c r="J332" i="12"/>
  <c r="K330" i="12"/>
  <c r="J330" i="12"/>
  <c r="K328" i="12"/>
  <c r="J328" i="12"/>
  <c r="K326" i="12"/>
  <c r="J326" i="12"/>
  <c r="K324" i="12"/>
  <c r="J324" i="12"/>
  <c r="K322" i="12"/>
  <c r="J322" i="12"/>
  <c r="K320" i="12"/>
  <c r="J320" i="12"/>
  <c r="K318" i="12"/>
  <c r="J318" i="12"/>
  <c r="K316" i="12"/>
  <c r="J316" i="12"/>
  <c r="K314" i="12"/>
  <c r="J314" i="12"/>
  <c r="K312" i="12"/>
  <c r="J312" i="12"/>
  <c r="K310" i="12"/>
  <c r="J310" i="12"/>
  <c r="K308" i="12"/>
  <c r="J308" i="12"/>
  <c r="K306" i="12"/>
  <c r="J306" i="12"/>
  <c r="K304" i="12"/>
  <c r="J304" i="12"/>
  <c r="K302" i="12"/>
  <c r="J302" i="12"/>
  <c r="K300" i="12"/>
  <c r="J300" i="12"/>
  <c r="K298" i="12"/>
  <c r="J298" i="12"/>
  <c r="K296" i="12"/>
  <c r="J296" i="12"/>
  <c r="K294" i="12"/>
  <c r="J294" i="12"/>
  <c r="K292" i="12"/>
  <c r="J292" i="12"/>
  <c r="K290" i="12"/>
  <c r="J290" i="12"/>
  <c r="K288" i="12"/>
  <c r="J288" i="12"/>
  <c r="K286" i="12"/>
  <c r="J286" i="12"/>
  <c r="K284" i="12"/>
  <c r="J284" i="12"/>
  <c r="K282" i="12"/>
  <c r="J282" i="12"/>
  <c r="K280" i="12"/>
  <c r="J280" i="12"/>
  <c r="K278" i="12"/>
  <c r="J278" i="12"/>
  <c r="K276" i="12"/>
  <c r="J276" i="12"/>
  <c r="K274" i="12"/>
  <c r="J274" i="12"/>
  <c r="K272" i="12"/>
  <c r="J272" i="12"/>
  <c r="K270" i="12"/>
  <c r="J270" i="12"/>
  <c r="K268" i="12"/>
  <c r="J268" i="12"/>
  <c r="K266" i="12"/>
  <c r="J266" i="12"/>
  <c r="K264" i="12"/>
  <c r="J264" i="12"/>
  <c r="K262" i="12"/>
  <c r="J262" i="12"/>
  <c r="K260" i="12"/>
  <c r="J260" i="12"/>
  <c r="K258" i="12"/>
  <c r="J258" i="12"/>
  <c r="K256" i="12"/>
  <c r="J256" i="12"/>
  <c r="K254" i="12"/>
  <c r="J254" i="12"/>
  <c r="K252" i="12"/>
  <c r="J252" i="12"/>
  <c r="K250" i="12"/>
  <c r="J250" i="12"/>
  <c r="K248" i="12"/>
  <c r="J248" i="12"/>
  <c r="K246" i="12"/>
  <c r="J246" i="12"/>
  <c r="K244" i="12"/>
  <c r="J244" i="12"/>
  <c r="K242" i="12"/>
  <c r="J242" i="12"/>
  <c r="K240" i="12"/>
  <c r="J240" i="12"/>
  <c r="K238" i="12"/>
  <c r="J238" i="12"/>
  <c r="K236" i="12"/>
  <c r="J236" i="12"/>
  <c r="K234" i="12"/>
  <c r="J234" i="12"/>
  <c r="K232" i="12"/>
  <c r="J232" i="12"/>
  <c r="K230" i="12"/>
  <c r="J230" i="12"/>
  <c r="K228" i="12"/>
  <c r="J228" i="12"/>
  <c r="K226" i="12"/>
  <c r="J226" i="12"/>
  <c r="K224" i="12"/>
  <c r="J224" i="12"/>
  <c r="K222" i="12"/>
  <c r="J222" i="12"/>
  <c r="K220" i="12"/>
  <c r="J220" i="12"/>
  <c r="K218" i="12"/>
  <c r="J218" i="12"/>
  <c r="K216" i="12"/>
  <c r="J216" i="12"/>
  <c r="K214" i="12"/>
  <c r="J214" i="12"/>
  <c r="K212" i="12"/>
  <c r="J212" i="12"/>
  <c r="K210" i="12"/>
  <c r="J210" i="12"/>
  <c r="K208" i="12"/>
  <c r="J208" i="12"/>
  <c r="K206" i="12"/>
  <c r="J206" i="12"/>
  <c r="K204" i="12"/>
  <c r="J204" i="12"/>
  <c r="K202" i="12"/>
  <c r="J202" i="12"/>
  <c r="K200" i="12"/>
  <c r="J200" i="12"/>
  <c r="K198" i="12"/>
  <c r="J198" i="12"/>
  <c r="K196" i="12"/>
  <c r="J196" i="12"/>
  <c r="K194" i="12"/>
  <c r="J194" i="12"/>
  <c r="K192" i="12"/>
  <c r="J192" i="12"/>
  <c r="K190" i="12"/>
  <c r="J190" i="12"/>
  <c r="K188" i="12"/>
  <c r="J188" i="12"/>
  <c r="K186" i="12"/>
  <c r="J186" i="12"/>
  <c r="K184" i="12"/>
  <c r="J184" i="12"/>
  <c r="K182" i="12"/>
  <c r="J182" i="12"/>
  <c r="K180" i="12"/>
  <c r="J180" i="12"/>
  <c r="K178" i="12"/>
  <c r="J178" i="12"/>
  <c r="K176" i="12"/>
  <c r="J176" i="12"/>
  <c r="K174" i="12"/>
  <c r="J174" i="12"/>
  <c r="K172" i="12"/>
  <c r="J172" i="12"/>
  <c r="K170" i="12"/>
  <c r="J170" i="12"/>
  <c r="K168" i="12"/>
  <c r="J168" i="12"/>
  <c r="K166" i="12"/>
  <c r="J166" i="12"/>
  <c r="K164" i="12"/>
  <c r="J164" i="12"/>
  <c r="K162" i="12"/>
  <c r="J162" i="12"/>
  <c r="K160" i="12"/>
  <c r="J160" i="12"/>
  <c r="K158" i="12"/>
  <c r="J158" i="12"/>
  <c r="K156" i="12"/>
  <c r="J156" i="12"/>
  <c r="K154" i="12"/>
  <c r="J154" i="12"/>
  <c r="K152" i="12"/>
  <c r="J152" i="12"/>
  <c r="K150" i="12"/>
  <c r="J150" i="12"/>
  <c r="K148" i="12"/>
  <c r="J148" i="12"/>
  <c r="K146" i="12"/>
  <c r="J146" i="12"/>
  <c r="K144" i="12"/>
  <c r="J144" i="12"/>
  <c r="K142" i="12"/>
  <c r="J142" i="12"/>
  <c r="K140" i="12"/>
  <c r="J140" i="12"/>
  <c r="K138" i="12"/>
  <c r="J138" i="12"/>
  <c r="K136" i="12"/>
  <c r="J136" i="12"/>
  <c r="K134" i="12"/>
  <c r="J134" i="12"/>
  <c r="K132" i="12"/>
  <c r="J132" i="12"/>
  <c r="K130" i="12"/>
  <c r="J130" i="12"/>
  <c r="K128" i="12"/>
  <c r="J128" i="12"/>
  <c r="K126" i="12"/>
  <c r="J126" i="12"/>
  <c r="K124" i="12"/>
  <c r="J124" i="12"/>
  <c r="K122" i="12"/>
  <c r="J122" i="12"/>
  <c r="K120" i="12"/>
  <c r="J120" i="12"/>
  <c r="K118" i="12"/>
  <c r="J118" i="12"/>
  <c r="K116" i="12"/>
  <c r="J116" i="12"/>
  <c r="K114" i="12"/>
  <c r="J114" i="12"/>
  <c r="K112" i="12"/>
  <c r="J112" i="12"/>
  <c r="K110" i="12"/>
  <c r="J110" i="12"/>
  <c r="K108" i="12"/>
  <c r="J108" i="12"/>
  <c r="K106" i="12"/>
  <c r="J106" i="12"/>
  <c r="K104" i="12"/>
  <c r="J104" i="12"/>
  <c r="K102" i="12"/>
  <c r="J102" i="12"/>
  <c r="K100" i="12"/>
  <c r="J100" i="12"/>
  <c r="K98" i="12"/>
  <c r="J98" i="12"/>
  <c r="K96" i="12"/>
  <c r="J96" i="12"/>
  <c r="K94" i="12"/>
  <c r="J94" i="12"/>
  <c r="K92" i="12"/>
  <c r="J92" i="12"/>
  <c r="K90" i="12"/>
  <c r="J90" i="12"/>
  <c r="K88" i="12"/>
  <c r="J88" i="12"/>
  <c r="K86" i="12"/>
  <c r="J86" i="12"/>
  <c r="K84" i="12"/>
  <c r="J84" i="12"/>
  <c r="K82" i="12"/>
  <c r="J82" i="12"/>
  <c r="K80" i="12"/>
  <c r="J80" i="12"/>
  <c r="K78" i="12"/>
  <c r="J78" i="12"/>
  <c r="K76" i="12"/>
  <c r="J76" i="12"/>
  <c r="K74" i="12"/>
  <c r="J74" i="12"/>
  <c r="K72" i="12"/>
  <c r="J72" i="12"/>
  <c r="K70" i="12"/>
  <c r="J70" i="12"/>
  <c r="K68" i="12"/>
  <c r="J68" i="12"/>
  <c r="K66" i="12"/>
  <c r="J66" i="12"/>
  <c r="K64" i="12"/>
  <c r="J64" i="12"/>
  <c r="K62" i="12"/>
  <c r="J62" i="12"/>
  <c r="K60" i="12"/>
  <c r="J60" i="12"/>
  <c r="K58" i="12"/>
  <c r="J58" i="12"/>
  <c r="K56" i="12"/>
  <c r="J56" i="12"/>
  <c r="K54" i="12"/>
  <c r="J54" i="12"/>
  <c r="K52" i="12"/>
  <c r="J52" i="12"/>
  <c r="K50" i="12"/>
  <c r="J50" i="12"/>
  <c r="K48" i="12"/>
  <c r="J48" i="12"/>
  <c r="K46" i="12"/>
  <c r="J46" i="12"/>
  <c r="K44" i="12"/>
  <c r="J44" i="12"/>
  <c r="K42" i="12"/>
  <c r="J42" i="12"/>
  <c r="K40" i="12"/>
  <c r="J40" i="12"/>
  <c r="K38" i="12"/>
  <c r="J38" i="12"/>
  <c r="K36" i="12"/>
  <c r="J36" i="12"/>
  <c r="K34" i="12"/>
  <c r="J34" i="12"/>
  <c r="K32" i="12"/>
  <c r="J32" i="12"/>
  <c r="K30" i="12"/>
  <c r="J30" i="12"/>
  <c r="K28" i="12"/>
  <c r="J28" i="12"/>
  <c r="K26" i="12"/>
  <c r="J26" i="12"/>
  <c r="K24" i="12"/>
  <c r="J24" i="12"/>
  <c r="K22" i="12"/>
  <c r="J22" i="12"/>
  <c r="K20" i="12"/>
  <c r="J20" i="12"/>
  <c r="K18" i="12"/>
  <c r="J18" i="12"/>
  <c r="K16" i="12"/>
  <c r="J16" i="12"/>
  <c r="K14" i="12"/>
  <c r="J14" i="12"/>
  <c r="K12" i="12"/>
  <c r="J12" i="12"/>
  <c r="K10" i="12"/>
  <c r="J10" i="12"/>
  <c r="K8" i="12"/>
  <c r="J8" i="12"/>
  <c r="K6" i="12"/>
  <c r="J6" i="12"/>
  <c r="K4" i="12"/>
  <c r="J4" i="12"/>
  <c r="K2" i="12"/>
  <c r="J2" i="12"/>
  <c r="K504" i="1" l="1"/>
  <c r="K502" i="1"/>
  <c r="K500" i="1"/>
  <c r="K498" i="1"/>
  <c r="K496" i="1"/>
  <c r="K494" i="1"/>
  <c r="K492" i="1"/>
  <c r="K490" i="1"/>
  <c r="K488" i="1"/>
  <c r="K486" i="1"/>
  <c r="K484" i="1"/>
  <c r="K482" i="1"/>
  <c r="K480" i="1"/>
  <c r="K478" i="1"/>
  <c r="K476" i="1"/>
  <c r="K474" i="1"/>
  <c r="K472" i="1"/>
  <c r="K470" i="1"/>
  <c r="K468" i="1"/>
  <c r="K466" i="1"/>
  <c r="K464" i="1"/>
  <c r="K462" i="1"/>
  <c r="K460" i="1"/>
  <c r="K458" i="1"/>
  <c r="K456" i="1"/>
  <c r="K454" i="1"/>
  <c r="K452" i="1"/>
  <c r="K450" i="1"/>
  <c r="K448" i="1"/>
  <c r="K446" i="1"/>
  <c r="K444" i="1"/>
  <c r="K442" i="1"/>
  <c r="K440" i="1"/>
  <c r="K438" i="1"/>
  <c r="K436" i="1"/>
  <c r="K434" i="1"/>
  <c r="K432" i="1"/>
  <c r="K430" i="1"/>
  <c r="K428" i="1"/>
  <c r="K426" i="1"/>
  <c r="K424" i="1"/>
  <c r="K422" i="1"/>
  <c r="K420" i="1"/>
  <c r="K418" i="1"/>
  <c r="K416" i="1"/>
  <c r="K414" i="1"/>
  <c r="K412" i="1"/>
  <c r="K410" i="1"/>
  <c r="K408" i="1"/>
  <c r="K406" i="1"/>
  <c r="K404" i="1"/>
  <c r="K402" i="1"/>
  <c r="K400" i="1"/>
  <c r="K398" i="1"/>
  <c r="K396" i="1"/>
  <c r="K394" i="1"/>
  <c r="K392" i="1"/>
  <c r="K390" i="1"/>
  <c r="K388" i="1"/>
  <c r="K386" i="1"/>
  <c r="K384" i="1"/>
  <c r="K382" i="1"/>
  <c r="K380" i="1"/>
  <c r="K378" i="1"/>
  <c r="K376" i="1"/>
  <c r="K374" i="1"/>
  <c r="K372" i="1"/>
  <c r="K370" i="1"/>
  <c r="K368" i="1"/>
  <c r="K366" i="1"/>
  <c r="K364" i="1"/>
  <c r="K362" i="1"/>
  <c r="K360" i="1"/>
  <c r="K358" i="1"/>
  <c r="K356" i="1"/>
  <c r="K354" i="1"/>
  <c r="K352" i="1"/>
  <c r="K350" i="1"/>
  <c r="K348" i="1"/>
  <c r="K346" i="1"/>
  <c r="K344" i="1"/>
  <c r="K342" i="1"/>
  <c r="K340" i="1"/>
  <c r="K338" i="1"/>
  <c r="K336" i="1"/>
  <c r="K334" i="1"/>
  <c r="K332" i="1"/>
  <c r="K330" i="1"/>
  <c r="K328" i="1"/>
  <c r="K326" i="1"/>
  <c r="K324" i="1"/>
  <c r="K322" i="1"/>
  <c r="K320" i="1"/>
  <c r="K318" i="1"/>
  <c r="K316" i="1"/>
  <c r="K314" i="1"/>
  <c r="K312" i="1"/>
  <c r="K310" i="1"/>
  <c r="K308" i="1"/>
  <c r="K306" i="1"/>
  <c r="K304" i="1"/>
  <c r="K302" i="1"/>
  <c r="K300" i="1"/>
  <c r="K298" i="1"/>
  <c r="K296" i="1"/>
  <c r="K294" i="1"/>
  <c r="K292" i="1"/>
  <c r="K290" i="1"/>
  <c r="K288" i="1"/>
  <c r="K286" i="1"/>
  <c r="K284" i="1"/>
  <c r="K282" i="1"/>
  <c r="K280" i="1"/>
  <c r="K278" i="1"/>
  <c r="K276" i="1"/>
  <c r="K274" i="1"/>
  <c r="K272" i="1"/>
  <c r="K270" i="1"/>
  <c r="K268" i="1"/>
  <c r="K266" i="1"/>
  <c r="K264" i="1"/>
  <c r="K262" i="1"/>
  <c r="K260" i="1"/>
  <c r="K258" i="1"/>
  <c r="K256" i="1"/>
  <c r="K254" i="1"/>
  <c r="K252" i="1"/>
  <c r="K250" i="1"/>
  <c r="K248" i="1"/>
  <c r="K246" i="1"/>
  <c r="K244" i="1"/>
  <c r="K242" i="1"/>
  <c r="K240" i="1"/>
  <c r="K238" i="1"/>
  <c r="K236" i="1"/>
  <c r="K234" i="1"/>
  <c r="K232" i="1"/>
  <c r="K230" i="1"/>
  <c r="K228" i="1"/>
  <c r="K226" i="1"/>
  <c r="K224" i="1"/>
  <c r="K222" i="1"/>
  <c r="K220" i="1"/>
  <c r="K218" i="1"/>
  <c r="K216" i="1"/>
  <c r="K214" i="1"/>
  <c r="K212" i="1"/>
  <c r="K210" i="1"/>
  <c r="K208" i="1"/>
  <c r="K206" i="1"/>
  <c r="K204" i="1"/>
  <c r="K202" i="1"/>
  <c r="J502" i="1"/>
  <c r="J500" i="1"/>
  <c r="J498" i="1"/>
  <c r="J496" i="1"/>
  <c r="J494" i="1"/>
  <c r="J492" i="1"/>
  <c r="J490" i="1"/>
  <c r="J488" i="1"/>
  <c r="J486" i="1"/>
  <c r="J484" i="1"/>
  <c r="J482" i="1"/>
  <c r="J480" i="1"/>
  <c r="J478" i="1"/>
  <c r="J476" i="1"/>
  <c r="J474" i="1"/>
  <c r="J472" i="1"/>
  <c r="J470" i="1"/>
  <c r="J468" i="1"/>
  <c r="J466" i="1"/>
  <c r="J464" i="1"/>
  <c r="J462" i="1"/>
  <c r="J460" i="1"/>
  <c r="J458" i="1"/>
  <c r="J456" i="1"/>
  <c r="J454" i="1"/>
  <c r="J452" i="1"/>
  <c r="J450" i="1"/>
  <c r="J448" i="1"/>
  <c r="J446" i="1"/>
  <c r="J444" i="1"/>
  <c r="J442" i="1"/>
  <c r="J440" i="1"/>
  <c r="J438" i="1"/>
  <c r="J436" i="1"/>
  <c r="J434" i="1"/>
  <c r="J432" i="1"/>
  <c r="J430" i="1"/>
  <c r="J428" i="1"/>
  <c r="J426" i="1"/>
  <c r="J424" i="1"/>
  <c r="J422" i="1"/>
  <c r="J420" i="1"/>
  <c r="J418" i="1"/>
  <c r="J416" i="1"/>
  <c r="J414" i="1"/>
  <c r="J412" i="1"/>
  <c r="J410" i="1"/>
  <c r="J408" i="1"/>
  <c r="J406" i="1"/>
  <c r="J404" i="1"/>
  <c r="J402" i="1"/>
  <c r="J400" i="1"/>
  <c r="J398" i="1"/>
  <c r="J396" i="1"/>
  <c r="J394" i="1"/>
  <c r="J392" i="1"/>
  <c r="J390" i="1"/>
  <c r="J388" i="1"/>
  <c r="J386" i="1"/>
  <c r="J384" i="1"/>
  <c r="J382" i="1"/>
  <c r="J380" i="1"/>
  <c r="J378" i="1"/>
  <c r="J376" i="1"/>
  <c r="J374" i="1"/>
  <c r="J372" i="1"/>
  <c r="J370" i="1"/>
  <c r="J368" i="1"/>
  <c r="J366" i="1"/>
  <c r="J364" i="1"/>
  <c r="J362" i="1"/>
  <c r="J360" i="1"/>
  <c r="J358" i="1"/>
  <c r="J356" i="1"/>
  <c r="J354" i="1"/>
  <c r="J352" i="1"/>
  <c r="J350" i="1"/>
  <c r="J348" i="1"/>
  <c r="J346" i="1"/>
  <c r="J344" i="1"/>
  <c r="J342" i="1"/>
  <c r="J340" i="1"/>
  <c r="J338" i="1"/>
  <c r="J336" i="1"/>
  <c r="J334" i="1"/>
  <c r="J332" i="1"/>
  <c r="J330" i="1"/>
  <c r="J328" i="1"/>
  <c r="J326" i="1"/>
  <c r="J324" i="1"/>
  <c r="J322" i="1"/>
  <c r="J320" i="1"/>
  <c r="J318" i="1"/>
  <c r="J316" i="1"/>
  <c r="J314" i="1"/>
  <c r="J312" i="1"/>
  <c r="J310" i="1"/>
  <c r="J308" i="1"/>
  <c r="J306" i="1"/>
  <c r="J304" i="1"/>
  <c r="J302" i="1"/>
  <c r="J300" i="1"/>
  <c r="J298" i="1"/>
  <c r="J296" i="1"/>
  <c r="J294" i="1"/>
  <c r="J292" i="1"/>
  <c r="J290" i="1"/>
  <c r="J288" i="1"/>
  <c r="J286" i="1"/>
  <c r="J284" i="1"/>
  <c r="J282" i="1"/>
  <c r="J280" i="1"/>
  <c r="J278" i="1"/>
  <c r="J276" i="1"/>
  <c r="J274" i="1"/>
  <c r="J272" i="1"/>
  <c r="J270" i="1"/>
  <c r="J268" i="1"/>
  <c r="J266" i="1"/>
  <c r="J264" i="1"/>
  <c r="J262" i="1"/>
  <c r="J260" i="1"/>
  <c r="J258" i="1"/>
  <c r="J256" i="1"/>
  <c r="J254" i="1"/>
  <c r="J252" i="1"/>
  <c r="J250" i="1"/>
  <c r="J248" i="1"/>
  <c r="J246" i="1"/>
  <c r="J244" i="1"/>
  <c r="J242" i="1"/>
  <c r="J240" i="1"/>
  <c r="J238" i="1"/>
  <c r="J236" i="1"/>
  <c r="J234" i="1"/>
  <c r="J232" i="1"/>
  <c r="J230" i="1"/>
  <c r="J228" i="1"/>
  <c r="J226" i="1"/>
  <c r="J224" i="1"/>
  <c r="J222" i="1"/>
  <c r="J220" i="1"/>
  <c r="J218" i="1"/>
  <c r="J216" i="1"/>
  <c r="J214" i="1"/>
  <c r="J212" i="1"/>
  <c r="J210" i="1"/>
  <c r="J208" i="1"/>
  <c r="J206" i="1"/>
  <c r="J204" i="1"/>
  <c r="J202" i="1"/>
  <c r="J200" i="1"/>
  <c r="K4" i="1"/>
  <c r="K6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2" i="1"/>
  <c r="K74" i="1"/>
  <c r="K76" i="1"/>
  <c r="K78" i="1"/>
  <c r="K80" i="1"/>
  <c r="K82" i="1"/>
  <c r="K84" i="1"/>
  <c r="K86" i="1"/>
  <c r="K88" i="1"/>
  <c r="K90" i="1"/>
  <c r="K92" i="1"/>
  <c r="K94" i="1"/>
  <c r="K96" i="1"/>
  <c r="K98" i="1"/>
  <c r="K100" i="1"/>
  <c r="K102" i="1"/>
  <c r="K104" i="1"/>
  <c r="K106" i="1"/>
  <c r="K108" i="1"/>
  <c r="K110" i="1"/>
  <c r="K112" i="1"/>
  <c r="K114" i="1"/>
  <c r="K116" i="1"/>
  <c r="K118" i="1"/>
  <c r="K120" i="1"/>
  <c r="K122" i="1"/>
  <c r="K124" i="1"/>
  <c r="K126" i="1"/>
  <c r="K128" i="1"/>
  <c r="K130" i="1"/>
  <c r="K132" i="1"/>
  <c r="K134" i="1"/>
  <c r="K136" i="1"/>
  <c r="K138" i="1"/>
  <c r="K140" i="1"/>
  <c r="K142" i="1"/>
  <c r="K144" i="1"/>
  <c r="K146" i="1"/>
  <c r="K148" i="1"/>
  <c r="K150" i="1"/>
  <c r="K152" i="1"/>
  <c r="K154" i="1"/>
  <c r="K156" i="1"/>
  <c r="K158" i="1"/>
  <c r="K160" i="1"/>
  <c r="K162" i="1"/>
  <c r="K164" i="1"/>
  <c r="K166" i="1"/>
  <c r="K168" i="1"/>
  <c r="K170" i="1"/>
  <c r="K172" i="1"/>
  <c r="K174" i="1"/>
  <c r="K176" i="1"/>
  <c r="K178" i="1"/>
  <c r="K180" i="1"/>
  <c r="K182" i="1"/>
  <c r="K184" i="1"/>
  <c r="K186" i="1"/>
  <c r="K188" i="1"/>
  <c r="K190" i="1"/>
  <c r="K192" i="1"/>
  <c r="K194" i="1"/>
  <c r="K196" i="1"/>
  <c r="K198" i="1"/>
  <c r="K2" i="1"/>
  <c r="J4" i="1"/>
  <c r="J6" i="1"/>
  <c r="J10" i="1"/>
  <c r="J12" i="1"/>
  <c r="J14" i="1"/>
  <c r="J16" i="1"/>
  <c r="J18" i="1"/>
  <c r="J20" i="1"/>
  <c r="J22" i="1"/>
  <c r="J24" i="1"/>
  <c r="J26" i="1"/>
  <c r="J28" i="1"/>
  <c r="J30" i="1"/>
  <c r="J32" i="1"/>
  <c r="J34" i="1"/>
  <c r="J36" i="1"/>
  <c r="J38" i="1"/>
  <c r="J40" i="1"/>
  <c r="J42" i="1"/>
  <c r="J44" i="1"/>
  <c r="J46" i="1"/>
  <c r="J48" i="1"/>
  <c r="J50" i="1"/>
  <c r="J52" i="1"/>
  <c r="J54" i="1"/>
  <c r="J56" i="1"/>
  <c r="J58" i="1"/>
  <c r="J60" i="1"/>
  <c r="J62" i="1"/>
  <c r="J64" i="1"/>
  <c r="J66" i="1"/>
  <c r="J68" i="1"/>
  <c r="J70" i="1"/>
  <c r="J72" i="1"/>
  <c r="J74" i="1"/>
  <c r="J76" i="1"/>
  <c r="J78" i="1"/>
  <c r="J80" i="1"/>
  <c r="J82" i="1"/>
  <c r="J84" i="1"/>
  <c r="J86" i="1"/>
  <c r="J88" i="1"/>
  <c r="J90" i="1"/>
  <c r="J92" i="1"/>
  <c r="J94" i="1"/>
  <c r="J96" i="1"/>
  <c r="J98" i="1"/>
  <c r="J100" i="1"/>
  <c r="J102" i="1"/>
  <c r="J104" i="1"/>
  <c r="J106" i="1"/>
  <c r="J108" i="1"/>
  <c r="J110" i="1"/>
  <c r="J112" i="1"/>
  <c r="J114" i="1"/>
  <c r="J116" i="1"/>
  <c r="J118" i="1"/>
  <c r="J120" i="1"/>
  <c r="J122" i="1"/>
  <c r="J124" i="1"/>
  <c r="J126" i="1"/>
  <c r="J128" i="1"/>
  <c r="J130" i="1"/>
  <c r="J132" i="1"/>
  <c r="J134" i="1"/>
  <c r="J136" i="1"/>
  <c r="J138" i="1"/>
  <c r="J140" i="1"/>
  <c r="J142" i="1"/>
  <c r="J144" i="1"/>
  <c r="J146" i="1"/>
  <c r="J148" i="1"/>
  <c r="J150" i="1"/>
  <c r="J152" i="1"/>
  <c r="J154" i="1"/>
  <c r="J156" i="1"/>
  <c r="J158" i="1"/>
  <c r="J160" i="1"/>
  <c r="J162" i="1"/>
  <c r="J164" i="1"/>
  <c r="J166" i="1"/>
  <c r="J168" i="1"/>
  <c r="J170" i="1"/>
  <c r="J172" i="1"/>
  <c r="J174" i="1"/>
  <c r="J176" i="1"/>
  <c r="J178" i="1"/>
  <c r="J180" i="1"/>
  <c r="J182" i="1"/>
  <c r="J184" i="1"/>
  <c r="J186" i="1"/>
  <c r="J188" i="1"/>
  <c r="J190" i="1"/>
  <c r="J192" i="1"/>
  <c r="J194" i="1"/>
  <c r="J196" i="1"/>
  <c r="J198" i="1"/>
  <c r="K200" i="1"/>
  <c r="J2" i="1" l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2" i="11"/>
  <c r="J8" i="1" l="1"/>
  <c r="K8" i="1"/>
</calcChain>
</file>

<file path=xl/connections.xml><?xml version="1.0" encoding="utf-8"?>
<connections xmlns="http://schemas.openxmlformats.org/spreadsheetml/2006/main">
  <connection id="1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  <connection id="2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<sst xmlns="http://schemas.openxmlformats.org/spreadsheetml/2006/main" count="1245" uniqueCount="449">
  <si>
    <t>MOJOWARNO</t>
  </si>
  <si>
    <t>199805292025041008</t>
  </si>
  <si>
    <t>NO</t>
  </si>
  <si>
    <t>NO ENTRI</t>
  </si>
  <si>
    <t>NOPOL</t>
  </si>
  <si>
    <t>NAMA / ALAMAT</t>
  </si>
  <si>
    <t>DESA</t>
  </si>
  <si>
    <t>KECAMATAN</t>
  </si>
  <si>
    <t>POTENSI</t>
  </si>
  <si>
    <t>TGCETAK</t>
  </si>
  <si>
    <t>DIWEK</t>
  </si>
  <si>
    <t>DS BADANG</t>
  </si>
  <si>
    <t>NGORO</t>
  </si>
  <si>
    <t>DS NGORO</t>
  </si>
  <si>
    <t>BAKALAN</t>
  </si>
  <si>
    <t>DS PULOREJO</t>
  </si>
  <si>
    <t>196904231998031004</t>
  </si>
  <si>
    <t>199909162025042006</t>
  </si>
  <si>
    <t>ID_Login</t>
  </si>
  <si>
    <t>Password</t>
  </si>
  <si>
    <t>No</t>
  </si>
  <si>
    <t>Nama</t>
  </si>
  <si>
    <t>SENO</t>
  </si>
  <si>
    <t>ARINI PRIBADI</t>
  </si>
  <si>
    <t>198304162011012004</t>
  </si>
  <si>
    <t>ARN16</t>
  </si>
  <si>
    <t>KURNIAWAN PRATAMA</t>
  </si>
  <si>
    <t>198601112011011006</t>
  </si>
  <si>
    <t>KURNIAWAN</t>
  </si>
  <si>
    <t>TOTOK HADI WINASTO</t>
  </si>
  <si>
    <t>197001172008011009</t>
  </si>
  <si>
    <t>ADMIN</t>
  </si>
  <si>
    <t>197301302007011007</t>
  </si>
  <si>
    <t>KUKUH</t>
  </si>
  <si>
    <t>IMAM SUJARWO</t>
  </si>
  <si>
    <t>197608082010011008</t>
  </si>
  <si>
    <t>JRW</t>
  </si>
  <si>
    <t>SOEKARI AGUNG SANJOTO</t>
  </si>
  <si>
    <t>19711203200811005</t>
  </si>
  <si>
    <t>AGUNG</t>
  </si>
  <si>
    <t>200004242022022001</t>
  </si>
  <si>
    <t>ARS</t>
  </si>
  <si>
    <t>198411182023211015</t>
  </si>
  <si>
    <t>INDRA</t>
  </si>
  <si>
    <t>AHMAD KADIR</t>
  </si>
  <si>
    <t>120201219820720072991</t>
  </si>
  <si>
    <t>KADIR</t>
  </si>
  <si>
    <t>ANJAS SASMITA</t>
  </si>
  <si>
    <t>120291019860720072992</t>
  </si>
  <si>
    <t>SIAPP</t>
  </si>
  <si>
    <t>SISWANTO</t>
  </si>
  <si>
    <t>120241219780720073002</t>
  </si>
  <si>
    <t>SIS</t>
  </si>
  <si>
    <t>120010619760620072964</t>
  </si>
  <si>
    <t>BEJO</t>
  </si>
  <si>
    <t>NURUL MAULITA</t>
  </si>
  <si>
    <t>120150119810720082999</t>
  </si>
  <si>
    <t>NURUL</t>
  </si>
  <si>
    <t>HERMA PUSPITASARI</t>
  </si>
  <si>
    <t>120181119800720083408</t>
  </si>
  <si>
    <t>AYU</t>
  </si>
  <si>
    <t>YULIANTO</t>
  </si>
  <si>
    <t>120080719820520093004</t>
  </si>
  <si>
    <t>YL251</t>
  </si>
  <si>
    <t>EKO SUSANTO</t>
  </si>
  <si>
    <t>120050619790220112980</t>
  </si>
  <si>
    <t>GRESIK</t>
  </si>
  <si>
    <t>WAWAN UTOMO</t>
  </si>
  <si>
    <t>120281219860120113003</t>
  </si>
  <si>
    <t>DAVID SASONGKO</t>
  </si>
  <si>
    <t>120011119910120112993</t>
  </si>
  <si>
    <t>MASSDAFF17</t>
  </si>
  <si>
    <t>120090419830220113123</t>
  </si>
  <si>
    <t>ARDN251</t>
  </si>
  <si>
    <t>120301219900120132994</t>
  </si>
  <si>
    <t>DESI</t>
  </si>
  <si>
    <t>SAMSUL ARIF</t>
  </si>
  <si>
    <t>120260319850320153114</t>
  </si>
  <si>
    <t>SAM461</t>
  </si>
  <si>
    <t>199303072025041008</t>
  </si>
  <si>
    <t>YOGA</t>
  </si>
  <si>
    <t>BACHTIAR</t>
  </si>
  <si>
    <t>HESTI</t>
  </si>
  <si>
    <t>199707082025042010</t>
  </si>
  <si>
    <t>EKANUR</t>
  </si>
  <si>
    <t>200203232025042003</t>
  </si>
  <si>
    <t>ARIMA</t>
  </si>
  <si>
    <t>199008212024212001</t>
  </si>
  <si>
    <t>STRONG</t>
  </si>
  <si>
    <t>KARYONO</t>
  </si>
  <si>
    <t>196808181994031009</t>
  </si>
  <si>
    <t>196901041994031005</t>
  </si>
  <si>
    <t>WIBOWO</t>
  </si>
  <si>
    <t>198311252010011005</t>
  </si>
  <si>
    <t>YAFET</t>
  </si>
  <si>
    <t>Id_Login</t>
  </si>
  <si>
    <t>NAMA</t>
  </si>
  <si>
    <t>BANDAR KEDUNG MULYO</t>
  </si>
  <si>
    <t>PERAK</t>
  </si>
  <si>
    <t>GUDO</t>
  </si>
  <si>
    <t>ARDIANSYAH M</t>
  </si>
  <si>
    <t>JOMBANG</t>
  </si>
  <si>
    <t>TAMBAKREJO</t>
  </si>
  <si>
    <t>SUMOBITO</t>
  </si>
  <si>
    <t>DESSY AMANDAH NURMATIK</t>
  </si>
  <si>
    <t>KWARON</t>
  </si>
  <si>
    <t>JATIPELEM</t>
  </si>
  <si>
    <t>SOESENO</t>
  </si>
  <si>
    <t>KUDU</t>
  </si>
  <si>
    <t>MOJOAGUNG</t>
  </si>
  <si>
    <t>JOGOROTO</t>
  </si>
  <si>
    <t>RISA</t>
  </si>
  <si>
    <t>PETERONGAN</t>
  </si>
  <si>
    <t>M KUKUH CAHYANTO</t>
  </si>
  <si>
    <t>JOJOK RACHMAT WIBOWO</t>
  </si>
  <si>
    <t>TEMBELANG</t>
  </si>
  <si>
    <t>KESAMBEN</t>
  </si>
  <si>
    <t>PULO LOR</t>
  </si>
  <si>
    <t>MEGALUH</t>
  </si>
  <si>
    <t>ANDI MAHMUDI</t>
  </si>
  <si>
    <t>BARENG</t>
  </si>
  <si>
    <t>NURDIANTO INDRA</t>
  </si>
  <si>
    <t>PLOSO</t>
  </si>
  <si>
    <t>ARSYIDA RISHANG SIFANI</t>
  </si>
  <si>
    <t>WONOSALAM</t>
  </si>
  <si>
    <t>JOMBATAN</t>
  </si>
  <si>
    <t>RINALDI DWI SAYOGA S.Kom</t>
  </si>
  <si>
    <t>KABUH</t>
  </si>
  <si>
    <t>NGUSIKAN</t>
  </si>
  <si>
    <t>MOCHAMAD BACHTIAR SETYO H S.Kom</t>
  </si>
  <si>
    <t>PANGESTI INDAH PUSPITASARI S.Tr.Stat</t>
  </si>
  <si>
    <t>EKA NURRIZEKI AMALIYA SE</t>
  </si>
  <si>
    <t>ARIMA SURYANI S.Kom</t>
  </si>
  <si>
    <t>PLANDAAN</t>
  </si>
  <si>
    <t>YAFET DARWANTO</t>
  </si>
  <si>
    <t>GADINGMANGU</t>
  </si>
  <si>
    <t>PUTON</t>
  </si>
  <si>
    <t>BANYUARANG</t>
  </si>
  <si>
    <t>PUNDONG</t>
  </si>
  <si>
    <t>JATIREJO</t>
  </si>
  <si>
    <t>KENDALSARI</t>
  </si>
  <si>
    <t>DENANYAR</t>
  </si>
  <si>
    <t>SENGON</t>
  </si>
  <si>
    <t>JOMBOK</t>
  </si>
  <si>
    <t>I GEDANGAN</t>
  </si>
  <si>
    <t>DUKUHMOJO</t>
  </si>
  <si>
    <t>ALANG – ALANG</t>
  </si>
  <si>
    <t>KEDUNGLUMPANG</t>
  </si>
  <si>
    <t>PLOSOKEREP</t>
  </si>
  <si>
    <t>MAYANGAN</t>
  </si>
  <si>
    <t>PLANDI</t>
  </si>
  <si>
    <t>BANJARDOWO</t>
  </si>
  <si>
    <t>TALUNKIDUL</t>
  </si>
  <si>
    <t>PLOSOGENUK</t>
  </si>
  <si>
    <t>PULOREJO</t>
  </si>
  <si>
    <t>LATSARI</t>
  </si>
  <si>
    <t>KEPLAKSARI</t>
  </si>
  <si>
    <t>MOJONGAPIT</t>
  </si>
  <si>
    <t>NGLELE</t>
  </si>
  <si>
    <t>WATUDAKON</t>
  </si>
  <si>
    <t>TANGGUNGAN</t>
  </si>
  <si>
    <t>KEDUNGPARI</t>
  </si>
  <si>
    <t>WILAYAH</t>
  </si>
  <si>
    <t>PAGERWOJO</t>
  </si>
  <si>
    <t>KALANG SEMANDING</t>
  </si>
  <si>
    <t>KEPUH KAJANG</t>
  </si>
  <si>
    <t>SEMBUNG</t>
  </si>
  <si>
    <t>GLAGAHAN</t>
  </si>
  <si>
    <t>TEMUWULAN</t>
  </si>
  <si>
    <t>CANGKRINGRANDU</t>
  </si>
  <si>
    <t>SUKOREJO</t>
  </si>
  <si>
    <t>PESANGGRAHAN</t>
  </si>
  <si>
    <t>SUKOPINGGIR</t>
  </si>
  <si>
    <t>SUKOIBER</t>
  </si>
  <si>
    <t>SEPAYUL</t>
  </si>
  <si>
    <t>KREMBANGAN</t>
  </si>
  <si>
    <t>PLUMBON GAMBANG</t>
  </si>
  <si>
    <t>METAOS</t>
  </si>
  <si>
    <t>MEJOYOLOSARI</t>
  </si>
  <si>
    <t>KEDUNGTURI</t>
  </si>
  <si>
    <t>JAPANAN</t>
  </si>
  <si>
    <t>PUCANGRO</t>
  </si>
  <si>
    <t>GODONG</t>
  </si>
  <si>
    <t>GEMPOLLEGUNDI</t>
  </si>
  <si>
    <t>BLIMBING</t>
  </si>
  <si>
    <t>BENDET</t>
  </si>
  <si>
    <t>BULUREJO</t>
  </si>
  <si>
    <t>GROGOL</t>
  </si>
  <si>
    <t>SIDOWAREK</t>
  </si>
  <si>
    <t>GAJAH</t>
  </si>
  <si>
    <t>KERTOREJO</t>
  </si>
  <si>
    <t>SUGIHWARAS</t>
  </si>
  <si>
    <t>BANDUNG</t>
  </si>
  <si>
    <t>KEDAWONG</t>
  </si>
  <si>
    <t>NGUDIREJO</t>
  </si>
  <si>
    <t>CEWENG</t>
  </si>
  <si>
    <t>BALONGBESUK</t>
  </si>
  <si>
    <t>BRAMBANG</t>
  </si>
  <si>
    <t>KAYANGAN</t>
  </si>
  <si>
    <t>CUKIR</t>
  </si>
  <si>
    <t>KERAS</t>
  </si>
  <si>
    <t>WATUGALUH</t>
  </si>
  <si>
    <t>MADIOPURO</t>
  </si>
  <si>
    <t>CANDIMULYO</t>
  </si>
  <si>
    <t>TUNGGORONO</t>
  </si>
  <si>
    <t>JABON</t>
  </si>
  <si>
    <t>GENUKWATU</t>
  </si>
  <si>
    <t>REJOAGUNG</t>
  </si>
  <si>
    <t>KAUMAN</t>
  </si>
  <si>
    <t>BADANG</t>
  </si>
  <si>
    <t>MOJOWANG</t>
  </si>
  <si>
    <t>MOJOJEJER</t>
  </si>
  <si>
    <t>SELOREJO</t>
  </si>
  <si>
    <t>MENGANTO</t>
  </si>
  <si>
    <t>SIDOKERTO</t>
  </si>
  <si>
    <t>CATAKGAYAM</t>
  </si>
  <si>
    <t>WRINGINPITU</t>
  </si>
  <si>
    <t>KARANGWINONGAN</t>
  </si>
  <si>
    <t>KADEMANGAN</t>
  </si>
  <si>
    <t>JANTI</t>
  </si>
  <si>
    <t>TEJO</t>
  </si>
  <si>
    <t>GAMBIRAN</t>
  </si>
  <si>
    <t>MOJOTRISNO</t>
  </si>
  <si>
    <t>CARUBAN</t>
  </si>
  <si>
    <t>SUKOSARI</t>
  </si>
  <si>
    <t>SAMBIREJO</t>
  </si>
  <si>
    <t>TANGGALREJO</t>
  </si>
  <si>
    <t>DUKUHDIMORO</t>
  </si>
  <si>
    <t>MIAGAN</t>
  </si>
  <si>
    <t>MANCILAN</t>
  </si>
  <si>
    <t>BETEK</t>
  </si>
  <si>
    <t>KAROBELAH</t>
  </si>
  <si>
    <t>MURUKAN</t>
  </si>
  <si>
    <t>JOHOWINONG</t>
  </si>
  <si>
    <t>SEKETI</t>
  </si>
  <si>
    <t>JOGOLOYO</t>
  </si>
  <si>
    <t>PALREJO</t>
  </si>
  <si>
    <t>PLEMAHAN</t>
  </si>
  <si>
    <t>BRUDU</t>
  </si>
  <si>
    <t>BADAS</t>
  </si>
  <si>
    <t>TRAWASAN</t>
  </si>
  <si>
    <t>MLARAS</t>
  </si>
  <si>
    <t>SEGODOREJO</t>
  </si>
  <si>
    <t>KEDUNGPAPAR</t>
  </si>
  <si>
    <t>CURAHMALANG</t>
  </si>
  <si>
    <t>GEDANGAN</t>
  </si>
  <si>
    <t>JARAKKULON</t>
  </si>
  <si>
    <t>SAWIJI</t>
  </si>
  <si>
    <t>SUMBERMULYO</t>
  </si>
  <si>
    <t>NGUMPUL</t>
  </si>
  <si>
    <t>TAMBAR</t>
  </si>
  <si>
    <t>KEPUHKEMBENG</t>
  </si>
  <si>
    <t>MOROSUNGGINGAN</t>
  </si>
  <si>
    <t>DUKUH KLOPO</t>
  </si>
  <si>
    <t>BONGKOT</t>
  </si>
  <si>
    <t>SENDEN</t>
  </si>
  <si>
    <t>NGRANDULOR</t>
  </si>
  <si>
    <t>TENGARAN</t>
  </si>
  <si>
    <t>SUMBERAGUNG</t>
  </si>
  <si>
    <t>JELAKOMBO</t>
  </si>
  <si>
    <t>KEPANJEN</t>
  </si>
  <si>
    <t>SAMBONG DUKUH</t>
  </si>
  <si>
    <t>KALIWUNGU</t>
  </si>
  <si>
    <t>SUMBEREJO</t>
  </si>
  <si>
    <t>PLOSOGENENG</t>
  </si>
  <si>
    <t>MENTORO</t>
  </si>
  <si>
    <t>SEBANI</t>
  </si>
  <si>
    <t>SENTUL</t>
  </si>
  <si>
    <t>BEDAHLAWAK</t>
  </si>
  <si>
    <t>KEDUNGOTOK</t>
  </si>
  <si>
    <t>GABUSBANARAN</t>
  </si>
  <si>
    <t>PULOGEDANG</t>
  </si>
  <si>
    <t>KEPUHDOKO</t>
  </si>
  <si>
    <t>JATIWATES</t>
  </si>
  <si>
    <t>KALIKEJAMBON</t>
  </si>
  <si>
    <t>MOJOKRAPAK</t>
  </si>
  <si>
    <t>TAMPINGMOJO</t>
  </si>
  <si>
    <t>PESANTREN</t>
  </si>
  <si>
    <t>KEDUNGLOSARI</t>
  </si>
  <si>
    <t>POJOKREJO</t>
  </si>
  <si>
    <t>PODOROTO</t>
  </si>
  <si>
    <t>KEDUNGMLATI</t>
  </si>
  <si>
    <t>JATIDUWUR</t>
  </si>
  <si>
    <t>KEDUNGBETIK</t>
  </si>
  <si>
    <t>GUMULAN</t>
  </si>
  <si>
    <t>POJOKKULON</t>
  </si>
  <si>
    <t>JOMBOK WULUH</t>
  </si>
  <si>
    <t>JANTIGANGGONG</t>
  </si>
  <si>
    <t>REJOSOPINGGIR</t>
  </si>
  <si>
    <t>PENGGARON</t>
  </si>
  <si>
    <t>MOJODUWUR</t>
  </si>
  <si>
    <t>GONDEK</t>
  </si>
  <si>
    <t>REJOSLAMET</t>
  </si>
  <si>
    <t>SUKOMULYO</t>
  </si>
  <si>
    <t>DAPUR KEJAMBON</t>
  </si>
  <si>
    <t>MANCAR</t>
  </si>
  <si>
    <t>KEBONTEMU</t>
  </si>
  <si>
    <t>TANJUNGGUNUNG</t>
  </si>
  <si>
    <t>KEPATIHAN</t>
  </si>
  <si>
    <t>BUDUGSIDOREJO</t>
  </si>
  <si>
    <t>CARANGREJO</t>
  </si>
  <si>
    <t>KARANGLO</t>
  </si>
  <si>
    <t>GROBOGAN</t>
  </si>
  <si>
    <t>BANJARSARI</t>
  </si>
  <si>
    <t>BARONGSAWAHAN</t>
  </si>
  <si>
    <t>BRANGKAL</t>
  </si>
  <si>
    <t>BRODOT</t>
  </si>
  <si>
    <t>GONDANGMANIS</t>
  </si>
  <si>
    <t>KARANGDAGANGAN</t>
  </si>
  <si>
    <t>MOJOKAMBANG</t>
  </si>
  <si>
    <t>TINGGAR</t>
  </si>
  <si>
    <t>PANDANWANGI</t>
  </si>
  <si>
    <t>BAKALANRAYUNG</t>
  </si>
  <si>
    <t>SUDIMORO</t>
  </si>
  <si>
    <t>BAWANGAN</t>
  </si>
  <si>
    <t>TANGGUNGKRAMAT</t>
  </si>
  <si>
    <t>CARANGWULUNG</t>
  </si>
  <si>
    <t>MARMOYO</t>
  </si>
  <si>
    <t>ASEMGEDE</t>
  </si>
  <si>
    <t>SUMBERNONGKO</t>
  </si>
  <si>
    <t>TONDOWULAN</t>
  </si>
  <si>
    <t>BANDARKEDUNGMULYO</t>
  </si>
  <si>
    <t>KAYEN</t>
  </si>
  <si>
    <t>PUCANGSIMO</t>
  </si>
  <si>
    <t>BENDUNGAN</t>
  </si>
  <si>
    <t>KATEMAS</t>
  </si>
  <si>
    <t>KEPUHREJO</t>
  </si>
  <si>
    <t>KUDUBANJAR</t>
  </si>
  <si>
    <t>MADE</t>
  </si>
  <si>
    <t>MENTURUS</t>
  </si>
  <si>
    <t>RANDUWATANG</t>
  </si>
  <si>
    <t>SIDOKATON</t>
  </si>
  <si>
    <t>SUMBERTEGUH</t>
  </si>
  <si>
    <t>DAN TAPEN</t>
  </si>
  <si>
    <t>BALONGSARI</t>
  </si>
  <si>
    <t>GONGSENG</t>
  </si>
  <si>
    <t>TURIPINGGIR</t>
  </si>
  <si>
    <t>SUMBERSARI</t>
  </si>
  <si>
    <t>NGOGRI</t>
  </si>
  <si>
    <t>DUKUHARUM</t>
  </si>
  <si>
    <t>SIDOMULYO</t>
  </si>
  <si>
    <t>KEDUNGREJO</t>
  </si>
  <si>
    <t>PACAR PELUK</t>
  </si>
  <si>
    <t>BALONGGEMEK</t>
  </si>
  <si>
    <t>NGLEBAK</t>
  </si>
  <si>
    <t>PAKEL</t>
  </si>
  <si>
    <t>NGRIMBI</t>
  </si>
  <si>
    <t>KARANGAN</t>
  </si>
  <si>
    <t>MOJOTENGAH</t>
  </si>
  <si>
    <t>BANJARAGUNG</t>
  </si>
  <si>
    <t>JENISGELARAN</t>
  </si>
  <si>
    <t>KEBONDALEM</t>
  </si>
  <si>
    <t>NGAMPUNGAN</t>
  </si>
  <si>
    <t>PULOSARI</t>
  </si>
  <si>
    <t>TEGALREJO</t>
  </si>
  <si>
    <t>DADITUNGGAL</t>
  </si>
  <si>
    <t>GEDONGOMBO</t>
  </si>
  <si>
    <t>JATIBANJAR</t>
  </si>
  <si>
    <t>JATIGEDONG</t>
  </si>
  <si>
    <t>KEBONAGUNG</t>
  </si>
  <si>
    <t>KEDUNGDOWO</t>
  </si>
  <si>
    <t>LOSARI</t>
  </si>
  <si>
    <t>PAGERTANJUNG</t>
  </si>
  <si>
    <t>PANDANBLOLE</t>
  </si>
  <si>
    <t>GALENGDOWO</t>
  </si>
  <si>
    <t>JARAK</t>
  </si>
  <si>
    <t>PANGLUNGAN</t>
  </si>
  <si>
    <t>SUMBERJO</t>
  </si>
  <si>
    <t>WONOMERTO</t>
  </si>
  <si>
    <t>WONOKERTO</t>
  </si>
  <si>
    <t>TANJUNGWADUNG</t>
  </si>
  <si>
    <t>MANGUNAN</t>
  </si>
  <si>
    <t>KEDUNGJATI</t>
  </si>
  <si>
    <t>KARANGPAKIS</t>
  </si>
  <si>
    <t>SUMBERINGIN</t>
  </si>
  <si>
    <t>SUMBERGONDANG</t>
  </si>
  <si>
    <t>MUNUNGKEREP</t>
  </si>
  <si>
    <t>GENENGANJASEM</t>
  </si>
  <si>
    <t>MANDURO</t>
  </si>
  <si>
    <t>SUKODADI</t>
  </si>
  <si>
    <t>PENGAMPON</t>
  </si>
  <si>
    <t>SUMBERAJI.</t>
  </si>
  <si>
    <t>CUPAK</t>
  </si>
  <si>
    <t>KEBOAN</t>
  </si>
  <si>
    <t>KEDUNGBOGO</t>
  </si>
  <si>
    <t>KETAPANGKUNING</t>
  </si>
  <si>
    <t>KROMONG</t>
  </si>
  <si>
    <t>MANUNGGAL</t>
  </si>
  <si>
    <t>MOJODANU</t>
  </si>
  <si>
    <t>NGAMPEL</t>
  </si>
  <si>
    <t>TUGUSUMBERJO</t>
  </si>
  <si>
    <t>BANGSRI</t>
  </si>
  <si>
    <t>DARUREJO</t>
  </si>
  <si>
    <t>GEBANG BUNDER</t>
  </si>
  <si>
    <t>JATIMLEREK</t>
  </si>
  <si>
    <t>JIPURAPAH</t>
  </si>
  <si>
    <t>KAMPUNG BARU</t>
  </si>
  <si>
    <t>KARANG MOJO</t>
  </si>
  <si>
    <t>KLITIH</t>
  </si>
  <si>
    <t>PLABUHAN</t>
  </si>
  <si>
    <t>PURI SEMANDING</t>
  </si>
  <si>
    <t>WANGKALKEPUH</t>
  </si>
  <si>
    <t>S 4629 OBU</t>
  </si>
  <si>
    <t>WESTI ERLIFIANINGRUM</t>
  </si>
  <si>
    <t>DSN LEGARANG</t>
  </si>
  <si>
    <t>DS BRAMBANG</t>
  </si>
  <si>
    <t>KET</t>
  </si>
  <si>
    <t>S 3989 ON</t>
  </si>
  <si>
    <t>DENI ANDRIANTO</t>
  </si>
  <si>
    <t>DSN TEBON</t>
  </si>
  <si>
    <t>DS KAYANGAN</t>
  </si>
  <si>
    <t>S 2636 OBF</t>
  </si>
  <si>
    <t>SUYATI</t>
  </si>
  <si>
    <t>DSN GEDANGAN</t>
  </si>
  <si>
    <t>DS NGUDIREJO</t>
  </si>
  <si>
    <t>S 2422 OBF</t>
  </si>
  <si>
    <t>ARYO PUTRO</t>
  </si>
  <si>
    <t>DUSUN SUMBERMIRI</t>
  </si>
  <si>
    <t>DS BUGASUR KDLMN</t>
  </si>
  <si>
    <t>S 6944 OAL</t>
  </si>
  <si>
    <t>IMROATUL FARIDA</t>
  </si>
  <si>
    <t>DS TANGGUNGAN RW 02/06</t>
  </si>
  <si>
    <t>DS TANGGUNGAN</t>
  </si>
  <si>
    <t>S 4998 OCU</t>
  </si>
  <si>
    <t>MUHAMMAD FAQIN RIZAL AZZALI</t>
  </si>
  <si>
    <t>DSN SUKOTI</t>
  </si>
  <si>
    <t>S 3922 OAJ</t>
  </si>
  <si>
    <t>UNTUNG</t>
  </si>
  <si>
    <t>WONOASRI</t>
  </si>
  <si>
    <t>S 2362 OBF</t>
  </si>
  <si>
    <t>FEBRIANA DWI EVAYANTI</t>
  </si>
  <si>
    <t>DSN KAUMAN</t>
  </si>
  <si>
    <t>DS KAUMAN</t>
  </si>
  <si>
    <t>S 3983 ON</t>
  </si>
  <si>
    <t>FARIDA FITRIANA</t>
  </si>
  <si>
    <t>DSN KRENGGAN</t>
  </si>
  <si>
    <t>S 6901 OCH</t>
  </si>
  <si>
    <t>ALIEFFIAN SETYO R</t>
  </si>
  <si>
    <t>JL SALAK 4</t>
  </si>
  <si>
    <t>S 3972 ON</t>
  </si>
  <si>
    <t>NURLAILI</t>
  </si>
  <si>
    <t>JL SALAK</t>
  </si>
  <si>
    <t>S 4670 OBU</t>
  </si>
  <si>
    <t>SRI WAHYUNI</t>
  </si>
  <si>
    <t>JL SEDAP MALAM</t>
  </si>
  <si>
    <t>S 4984 OCU</t>
  </si>
  <si>
    <t>SIGIT PANCORO</t>
  </si>
  <si>
    <t>DSN. PULOREJO</t>
  </si>
  <si>
    <t>BUGASUR KDLMN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</si>
</sst>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333333"/>
      <name val="Lucida Sans Unicod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 style="medium">
        <color rgb="FFDDDDDD"/>
      </left>
      <right style="medium">
        <color rgb="FFDDDDDD"/>
      </right>
      <top style="thick">
        <color rgb="FFDDDDDD"/>
      </top>
      <bottom/>
      <diagonal/>
    </border>
  </borders>
  <cellStyleXfs count="43">
    <xf numFmtId="0" fontId="0" fillId="0" borderId="0"/>
    <xf numFmtId="0" fontId="2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6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6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6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6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6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6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2" fillId="0" borderId="1" xfId="1" applyBorder="1"/>
    <xf numFmtId="0" fontId="0" fillId="0" borderId="11" xfId="0" applyBorder="1" applyAlignment="1">
      <alignment vertical="center" wrapText="1"/>
    </xf>
    <xf numFmtId="0" fontId="0" fillId="0" borderId="11" xfId="0" applyBorder="1"/>
    <xf numFmtId="0" fontId="2" fillId="0" borderId="11" xfId="1" applyBorder="1" applyAlignment="1">
      <alignment horizontal="center"/>
    </xf>
    <xf numFmtId="49" fontId="1" fillId="0" borderId="14" xfId="1" applyNumberFormat="1" applyFont="1" applyBorder="1" applyAlignment="1">
      <alignment horizontal="center"/>
    </xf>
    <xf numFmtId="0" fontId="2" fillId="0" borderId="12" xfId="1" applyBorder="1" applyAlignment="1">
      <alignment horizontal="left"/>
    </xf>
    <xf numFmtId="0" fontId="1" fillId="0" borderId="14" xfId="1" applyFont="1" applyBorder="1" applyAlignment="1">
      <alignment horizontal="center"/>
    </xf>
    <xf numFmtId="0" fontId="1" fillId="0" borderId="13" xfId="1" applyFont="1" applyBorder="1" applyAlignment="1">
      <alignment horizontal="center"/>
    </xf>
    <xf numFmtId="0" fontId="2" fillId="0" borderId="12" xfId="1" applyBorder="1"/>
    <xf numFmtId="0" fontId="1" fillId="0" borderId="15" xfId="1" applyFont="1" applyBorder="1" applyAlignment="1">
      <alignment horizontal="center"/>
    </xf>
    <xf numFmtId="0" fontId="20" fillId="0" borderId="1" xfId="0" applyFont="1" applyBorder="1" applyAlignment="1">
      <alignment vertical="center" wrapText="1"/>
    </xf>
    <xf numFmtId="0" fontId="0" fillId="0" borderId="0" xfId="0" applyNumberFormat="1"/>
    <xf numFmtId="0" fontId="21" fillId="33" borderId="16" xfId="0" applyFont="1" applyFill="1" applyBorder="1" applyAlignment="1">
      <alignment vertical="top" wrapText="1"/>
    </xf>
    <xf numFmtId="0" fontId="21" fillId="33" borderId="17" xfId="0" applyFont="1" applyFill="1" applyBorder="1" applyAlignment="1">
      <alignment vertical="top" wrapText="1"/>
    </xf>
    <xf numFmtId="0" fontId="21" fillId="33" borderId="16" xfId="0" applyFont="1" applyFill="1" applyBorder="1" applyAlignment="1">
      <alignment vertical="top" wrapText="1"/>
    </xf>
    <xf numFmtId="0" fontId="21" fillId="33" borderId="17" xfId="0" applyFont="1" applyFill="1" applyBorder="1" applyAlignment="1">
      <alignment vertical="top" wrapText="1"/>
    </xf>
    <xf numFmtId="0" fontId="21" fillId="33" borderId="18" xfId="0" applyFont="1" applyFill="1" applyBorder="1" applyAlignment="1">
      <alignment horizontal="center" vertical="top" wrapText="1"/>
    </xf>
    <xf numFmtId="49" fontId="21" fillId="33" borderId="18" xfId="0" applyNumberFormat="1" applyFont="1" applyFill="1" applyBorder="1" applyAlignment="1">
      <alignment horizontal="center" vertical="top" wrapText="1"/>
    </xf>
    <xf numFmtId="0" fontId="21" fillId="33" borderId="16" xfId="0" applyFont="1" applyFill="1" applyBorder="1" applyAlignment="1">
      <alignment vertical="top" wrapText="1"/>
    </xf>
    <xf numFmtId="0" fontId="21" fillId="33" borderId="17" xfId="0" applyFont="1" applyFill="1" applyBorder="1" applyAlignment="1">
      <alignment vertical="top" wrapText="1"/>
    </xf>
    <xf numFmtId="14" fontId="21" fillId="33" borderId="19" xfId="0" applyNumberFormat="1" applyFont="1" applyFill="1" applyBorder="1" applyAlignment="1">
      <alignment vertical="top" wrapText="1"/>
    </xf>
    <xf numFmtId="14" fontId="21" fillId="33" borderId="17" xfId="0" applyNumberFormat="1" applyFont="1" applyFill="1" applyBorder="1" applyAlignment="1">
      <alignment vertical="top" wrapText="1"/>
    </xf>
    <xf numFmtId="0" fontId="21" fillId="33" borderId="16" xfId="0" applyFont="1" applyFill="1" applyBorder="1" applyAlignment="1">
      <alignment horizontal="center" vertical="top" wrapText="1"/>
    </xf>
    <xf numFmtId="0" fontId="21" fillId="33" borderId="17" xfId="0" applyFont="1" applyFill="1" applyBorder="1" applyAlignment="1">
      <alignment horizontal="center" vertical="top" wrapText="1"/>
    </xf>
    <xf numFmtId="49" fontId="21" fillId="33" borderId="16" xfId="0" applyNumberFormat="1" applyFont="1" applyFill="1" applyBorder="1" applyAlignment="1">
      <alignment vertical="top" wrapText="1"/>
    </xf>
    <xf numFmtId="49" fontId="21" fillId="33" borderId="17" xfId="0" applyNumberFormat="1" applyFont="1" applyFill="1" applyBorder="1" applyAlignment="1">
      <alignment vertical="top" wrapText="1"/>
    </xf>
    <xf numFmtId="0" fontId="21" fillId="33" borderId="16" xfId="0" applyFont="1" applyFill="1" applyBorder="1" applyAlignment="1">
      <alignment vertical="top" wrapText="1"/>
    </xf>
    <xf numFmtId="0" fontId="21" fillId="33" borderId="17" xfId="0" applyFont="1" applyFill="1" applyBorder="1" applyAlignment="1">
      <alignment vertical="top" wrapText="1"/>
    </xf>
    <xf numFmtId="3" fontId="21" fillId="33" borderId="16" xfId="0" applyNumberFormat="1" applyFont="1" applyFill="1" applyBorder="1" applyAlignment="1">
      <alignment horizontal="right" vertical="top" wrapText="1"/>
    </xf>
    <xf numFmtId="3" fontId="21" fillId="33" borderId="17" xfId="0" applyNumberFormat="1" applyFont="1" applyFill="1" applyBorder="1" applyAlignment="1">
      <alignment horizontal="right" vertical="top" wrapText="1"/>
    </xf>
    <xf numFmtId="14" fontId="21" fillId="33" borderId="16" xfId="0" applyNumberFormat="1" applyFont="1" applyFill="1" applyBorder="1" applyAlignment="1">
      <alignment vertical="top" wrapText="1"/>
    </xf>
    <xf numFmtId="0" fontId="21" fillId="33" borderId="19" xfId="0" applyFont="1" applyFill="1" applyBorder="1" applyAlignment="1">
      <alignment horizontal="center" vertical="top" wrapText="1"/>
    </xf>
    <xf numFmtId="49" fontId="21" fillId="33" borderId="19" xfId="0" applyNumberFormat="1" applyFont="1" applyFill="1" applyBorder="1" applyAlignment="1">
      <alignment vertical="top" wrapText="1"/>
    </xf>
    <xf numFmtId="0" fontId="21" fillId="33" borderId="19" xfId="0" applyFont="1" applyFill="1" applyBorder="1" applyAlignment="1">
      <alignment vertical="top" wrapText="1"/>
    </xf>
    <xf numFmtId="3" fontId="21" fillId="33" borderId="19" xfId="0" applyNumberFormat="1" applyFont="1" applyFill="1" applyBorder="1" applyAlignment="1">
      <alignment horizontal="right" vertical="top" wrapText="1"/>
    </xf>
    <xf numFmtId="0" fontId="0" fillId="0" borderId="0" xfId="0" applyAlignment="1">
      <alignment vertical="center" wrapText="1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/>
    <cellStyle name="60% - Accent2 2" xfId="38"/>
    <cellStyle name="60% - Accent3 2" xfId="39"/>
    <cellStyle name="60% - Accent4 2" xfId="40"/>
    <cellStyle name="60% - Accent5 2" xfId="41"/>
    <cellStyle name="60% - Accent6 2" xfId="42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/>
    <cellStyle name="Normal" xfId="0" builtinId="0"/>
    <cellStyle name="Normal 2" xfId="1"/>
    <cellStyle name="Note" xfId="14" builtinId="10" customBuiltin="1"/>
    <cellStyle name="Output" xfId="9" builtinId="21" customBuiltin="1"/>
    <cellStyle name="Title 2" xfId="35"/>
    <cellStyle name="Total" xfId="16" builtinId="25" customBuiltin="1"/>
    <cellStyle name="Warning Text" xfId="13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NAMA" tableColumnId="1"/>
      <queryTableField id="2" name="WILAYAH" tableColumnId="2"/>
      <queryTableField id="3" name="DESA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5" name="Table5" displayName="Table5" ref="A1:D32" totalsRowShown="0" headerRowDxfId="9" headerRowBorderDxfId="8" tableBorderDxfId="7" headerRowCellStyle="Normal 2">
  <autoFilter ref="A1:D32"/>
  <tableColumns count="4">
    <tableColumn id="1" name="No" dataDxfId="6" dataCellStyle="Normal 2"/>
    <tableColumn id="2" name="Nama" dataDxfId="5" dataCellStyle="Normal 2"/>
    <tableColumn id="3" name="Id_Login" dataDxfId="4"/>
    <tableColumn id="4" name="Password" dataDxfId="3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2__3" displayName="Table2__3" ref="B1:D307" tableType="queryTable" totalsRowShown="0">
  <autoFilter ref="B1:D307"/>
  <tableColumns count="3">
    <tableColumn id="1" uniqueName="1" name="NAMA" queryTableFieldId="1" dataDxfId="2"/>
    <tableColumn id="2" uniqueName="2" name="WILAYAH" queryTableFieldId="2" dataDxfId="1"/>
    <tableColumn id="3" uniqueName="3" name="DES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505"/>
  <sheetViews>
    <sheetView tabSelected="1" workbookViewId="0">
      <selection activeCell="D30" sqref="D30"/>
    </sheetView>
  </sheetViews>
  <sheetFormatPr defaultRowHeight="15" x14ac:dyDescent="0.25"/>
  <cols>
    <col min="1" max="1" width="3.85546875" bestFit="1" customWidth="1"/>
    <col min="2" max="2" width="14.28515625" style="3" bestFit="1" customWidth="1"/>
    <col min="3" max="3" width="11.28515625" bestFit="1" customWidth="1"/>
    <col min="4" max="4" width="24" bestFit="1" customWidth="1"/>
    <col min="5" max="5" width="16" bestFit="1" customWidth="1"/>
    <col min="6" max="6" width="13.5703125" bestFit="1" customWidth="1"/>
    <col min="7" max="7" width="17.140625" customWidth="1"/>
    <col min="8" max="8" width="21.85546875" customWidth="1"/>
    <col min="9" max="9" width="10.7109375" customWidth="1"/>
    <col min="10" max="10" width="28" style="3" customWidth="1"/>
    <col min="11" max="11" width="11" customWidth="1"/>
  </cols>
  <sheetData>
    <row r="1" spans="1:11" ht="29.25" thickBot="1" x14ac:dyDescent="0.3">
      <c r="A1" s="20" t="s">
        <v>2</v>
      </c>
      <c r="B1" s="21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406</v>
      </c>
      <c r="J1" s="2" t="s">
        <v>18</v>
      </c>
      <c r="K1" s="1" t="s">
        <v>19</v>
      </c>
    </row>
    <row r="2" spans="1:11" ht="15" customHeight="1" thickTop="1" x14ac:dyDescent="0.25">
      <c r="A2" s="35">
        <v>1</v>
      </c>
      <c r="B2" s="36">
        <v>2603076537</v>
      </c>
      <c r="C2" s="37" t="s">
        <v>402</v>
      </c>
      <c r="D2" s="16" t="s">
        <v>403</v>
      </c>
      <c r="E2" s="37" t="s">
        <v>405</v>
      </c>
      <c r="F2" s="37" t="s">
        <v>10</v>
      </c>
      <c r="G2" s="38">
        <v>243200</v>
      </c>
      <c r="H2" s="24">
        <v>46091</v>
      </c>
      <c r="I2" s="37"/>
      <c r="J2" s="39" t="str">
        <f>IF(E2="", "", IFERROR(VLOOKUP(IFERROR(VLOOKUP(SUBSTITUTE(E2,"DS ","")&amp;F2, wilayahfix!$A:$D, 2, 0), ""), user!$B:$D, 2, 0), "TIDAK KETEMU"))</f>
        <v>120201219820720072991</v>
      </c>
      <c r="K2" s="39" t="str">
        <f>IF(E2="", "", IFERROR(VLOOKUP(IFERROR(VLOOKUP(SUBSTITUTE(E2,"DS ","")&amp;F2, wilayahfix!$A:$D, 2, 0), ""), user!$B:$D, 3, 0), ""))</f>
        <v>KADIR</v>
      </c>
    </row>
    <row r="3" spans="1:11" ht="15.75" thickBot="1" x14ac:dyDescent="0.3">
      <c r="A3" s="27"/>
      <c r="B3" s="29"/>
      <c r="C3" s="31"/>
      <c r="D3" s="17" t="s">
        <v>404</v>
      </c>
      <c r="E3" s="31"/>
      <c r="F3" s="31"/>
      <c r="G3" s="33"/>
      <c r="H3" s="25"/>
      <c r="I3" s="31"/>
      <c r="J3" s="39"/>
      <c r="K3" s="39"/>
    </row>
    <row r="4" spans="1:11" ht="15" customHeight="1" x14ac:dyDescent="0.25">
      <c r="A4" s="26">
        <v>2</v>
      </c>
      <c r="B4" s="28">
        <v>2603064038</v>
      </c>
      <c r="C4" s="30" t="s">
        <v>407</v>
      </c>
      <c r="D4" s="16" t="s">
        <v>408</v>
      </c>
      <c r="E4" s="30" t="s">
        <v>410</v>
      </c>
      <c r="F4" s="30" t="s">
        <v>10</v>
      </c>
      <c r="G4" s="32">
        <v>209200</v>
      </c>
      <c r="H4" s="34">
        <v>46091</v>
      </c>
      <c r="I4" s="30"/>
      <c r="J4" s="39" t="str">
        <f>IF(E4="", "", IFERROR(VLOOKUP(IFERROR(VLOOKUP(SUBSTITUTE(E4,"DS ","")&amp;F4, wilayahfix!$A:$D, 2, 0), ""), user!$B:$D, 2, 0), "TIDAK KETEMU"))</f>
        <v>120201219820720072991</v>
      </c>
      <c r="K4" s="39" t="str">
        <f>IF(E4="", "", IFERROR(VLOOKUP(IFERROR(VLOOKUP(SUBSTITUTE(E4,"DS ","")&amp;F4, wilayahfix!$A:$D, 2, 0), ""), user!$B:$D, 3, 0), ""))</f>
        <v>KADIR</v>
      </c>
    </row>
    <row r="5" spans="1:11" ht="15.75" thickBot="1" x14ac:dyDescent="0.3">
      <c r="A5" s="27"/>
      <c r="B5" s="29"/>
      <c r="C5" s="31"/>
      <c r="D5" s="17" t="s">
        <v>409</v>
      </c>
      <c r="E5" s="31"/>
      <c r="F5" s="31"/>
      <c r="G5" s="33"/>
      <c r="H5" s="25"/>
      <c r="I5" s="31"/>
      <c r="J5" s="39"/>
      <c r="K5" s="39"/>
    </row>
    <row r="6" spans="1:11" ht="15" customHeight="1" x14ac:dyDescent="0.25">
      <c r="A6" s="26">
        <v>3</v>
      </c>
      <c r="B6" s="28">
        <v>2603071699</v>
      </c>
      <c r="C6" s="30" t="s">
        <v>411</v>
      </c>
      <c r="D6" s="16" t="s">
        <v>412</v>
      </c>
      <c r="E6" s="30" t="s">
        <v>414</v>
      </c>
      <c r="F6" s="30" t="s">
        <v>10</v>
      </c>
      <c r="G6" s="32">
        <v>151900</v>
      </c>
      <c r="H6" s="34">
        <v>46091</v>
      </c>
      <c r="I6" s="30"/>
      <c r="J6" s="39" t="str">
        <f>IF(E6="", "", IFERROR(VLOOKUP(IFERROR(VLOOKUP(SUBSTITUTE(E6,"DS ","")&amp;F6, wilayahfix!$A:$D, 2, 0), ""), user!$B:$D, 2, 0), "TIDAK KETEMU"))</f>
        <v>120291019860720072992</v>
      </c>
      <c r="K6" s="39" t="str">
        <f>IF(E6="", "", IFERROR(VLOOKUP(IFERROR(VLOOKUP(SUBSTITUTE(E6,"DS ","")&amp;F6, wilayahfix!$A:$D, 2, 0), ""), user!$B:$D, 3, 0), ""))</f>
        <v>SIAPP</v>
      </c>
    </row>
    <row r="7" spans="1:11" ht="15.75" thickBot="1" x14ac:dyDescent="0.3">
      <c r="A7" s="27"/>
      <c r="B7" s="29"/>
      <c r="C7" s="31"/>
      <c r="D7" s="17" t="s">
        <v>413</v>
      </c>
      <c r="E7" s="31"/>
      <c r="F7" s="31"/>
      <c r="G7" s="33"/>
      <c r="H7" s="25"/>
      <c r="I7" s="31"/>
      <c r="J7" s="39"/>
      <c r="K7" s="39"/>
    </row>
    <row r="8" spans="1:11" ht="15" customHeight="1" x14ac:dyDescent="0.25">
      <c r="A8" s="26">
        <v>4</v>
      </c>
      <c r="B8" s="28">
        <v>2603099049</v>
      </c>
      <c r="C8" s="30" t="s">
        <v>415</v>
      </c>
      <c r="D8" s="16" t="s">
        <v>416</v>
      </c>
      <c r="E8" s="30" t="s">
        <v>418</v>
      </c>
      <c r="F8" s="30" t="s">
        <v>99</v>
      </c>
      <c r="G8" s="32">
        <v>181800</v>
      </c>
      <c r="H8" s="34">
        <v>46091</v>
      </c>
      <c r="I8" s="30"/>
      <c r="J8" s="39" t="str">
        <f>IF(E8="", "", IFERROR(VLOOKUP(IFERROR(VLOOKUP(SUBSTITUTE(E8,"DS ","")&amp;F8, wilayahfix!$A:$D, 2, 0), ""), user!$B:$D, 2, 0), "TIDAK KETEMU"))</f>
        <v>198311252010011005</v>
      </c>
      <c r="K8" s="39" t="str">
        <f>IF(E8="", "", IFERROR(VLOOKUP(IFERROR(VLOOKUP(SUBSTITUTE(E8,"DS ","")&amp;F8, wilayahfix!$A:$D, 2, 0), ""), user!$B:$D, 3, 0), ""))</f>
        <v>YAFET</v>
      </c>
    </row>
    <row r="9" spans="1:11" ht="15.75" thickBot="1" x14ac:dyDescent="0.3">
      <c r="A9" s="27"/>
      <c r="B9" s="29"/>
      <c r="C9" s="31"/>
      <c r="D9" s="17" t="s">
        <v>417</v>
      </c>
      <c r="E9" s="31"/>
      <c r="F9" s="31"/>
      <c r="G9" s="33"/>
      <c r="H9" s="25"/>
      <c r="I9" s="31"/>
      <c r="J9" s="39"/>
      <c r="K9" s="39"/>
    </row>
    <row r="10" spans="1:11" ht="15" customHeight="1" x14ac:dyDescent="0.25">
      <c r="A10" s="26">
        <v>5</v>
      </c>
      <c r="B10" s="28">
        <v>2603082823</v>
      </c>
      <c r="C10" s="30" t="s">
        <v>419</v>
      </c>
      <c r="D10" s="16" t="s">
        <v>420</v>
      </c>
      <c r="E10" s="30" t="s">
        <v>422</v>
      </c>
      <c r="F10" s="30" t="s">
        <v>99</v>
      </c>
      <c r="G10" s="32">
        <v>196800</v>
      </c>
      <c r="H10" s="34">
        <v>46091</v>
      </c>
      <c r="I10" s="30"/>
      <c r="J10" s="39" t="str">
        <f>IF(E10="", "", IFERROR(VLOOKUP(IFERROR(VLOOKUP(SUBSTITUTE(E10,"DS ","")&amp;F10, wilayahfix!$A:$D, 2, 0), ""), user!$B:$D, 2, 0), "TIDAK KETEMU"))</f>
        <v>198311252010011005</v>
      </c>
      <c r="K10" s="39" t="str">
        <f>IF(E10="", "", IFERROR(VLOOKUP(IFERROR(VLOOKUP(SUBSTITUTE(E10,"DS ","")&amp;F10, wilayahfix!$A:$D, 2, 0), ""), user!$B:$D, 3, 0), ""))</f>
        <v>YAFET</v>
      </c>
    </row>
    <row r="11" spans="1:11" ht="29.25" thickBot="1" x14ac:dyDescent="0.3">
      <c r="A11" s="27"/>
      <c r="B11" s="29"/>
      <c r="C11" s="31"/>
      <c r="D11" s="17" t="s">
        <v>421</v>
      </c>
      <c r="E11" s="31"/>
      <c r="F11" s="31"/>
      <c r="G11" s="33"/>
      <c r="H11" s="25"/>
      <c r="I11" s="31"/>
      <c r="J11" s="39"/>
      <c r="K11" s="39"/>
    </row>
    <row r="12" spans="1:11" ht="15" customHeight="1" x14ac:dyDescent="0.25">
      <c r="A12" s="26">
        <v>6</v>
      </c>
      <c r="B12" s="28">
        <v>2603096239</v>
      </c>
      <c r="C12" s="30" t="s">
        <v>423</v>
      </c>
      <c r="D12" s="16" t="s">
        <v>424</v>
      </c>
      <c r="E12" s="30" t="s">
        <v>11</v>
      </c>
      <c r="F12" s="30" t="s">
        <v>12</v>
      </c>
      <c r="G12" s="32">
        <v>267300</v>
      </c>
      <c r="H12" s="34">
        <v>46091</v>
      </c>
      <c r="I12" s="30"/>
      <c r="J12" s="39" t="str">
        <f>IF(E12="", "", IFERROR(VLOOKUP(IFERROR(VLOOKUP(SUBSTITUTE(E12,"DS ","")&amp;F12, wilayahfix!$A:$D, 2, 0), ""), user!$B:$D, 2, 0), "TIDAK KETEMU"))</f>
        <v>120281219860120113003</v>
      </c>
      <c r="K12" s="39">
        <f>IF(E12="", "", IFERROR(VLOOKUP(IFERROR(VLOOKUP(SUBSTITUTE(E12,"DS ","")&amp;F12, wilayahfix!$A:$D, 2, 0), ""), user!$B:$D, 3, 0), ""))</f>
        <v>250005</v>
      </c>
    </row>
    <row r="13" spans="1:11" ht="15.75" thickBot="1" x14ac:dyDescent="0.3">
      <c r="A13" s="27"/>
      <c r="B13" s="29"/>
      <c r="C13" s="31"/>
      <c r="D13" s="17" t="s">
        <v>425</v>
      </c>
      <c r="E13" s="31"/>
      <c r="F13" s="31"/>
      <c r="G13" s="33"/>
      <c r="H13" s="25"/>
      <c r="I13" s="31"/>
      <c r="J13" s="39"/>
      <c r="K13" s="39"/>
    </row>
    <row r="14" spans="1:11" ht="15" customHeight="1" x14ac:dyDescent="0.25">
      <c r="A14" s="26">
        <v>7</v>
      </c>
      <c r="B14" s="28">
        <v>2603076608</v>
      </c>
      <c r="C14" s="30" t="s">
        <v>426</v>
      </c>
      <c r="D14" s="16" t="s">
        <v>427</v>
      </c>
      <c r="E14" s="30" t="s">
        <v>11</v>
      </c>
      <c r="F14" s="30" t="s">
        <v>12</v>
      </c>
      <c r="G14" s="32">
        <v>196800</v>
      </c>
      <c r="H14" s="34">
        <v>46091</v>
      </c>
      <c r="I14" s="30"/>
      <c r="J14" s="39" t="str">
        <f>IF(E14="", "", IFERROR(VLOOKUP(IFERROR(VLOOKUP(SUBSTITUTE(E14,"DS ","")&amp;F14, wilayahfix!$A:$D, 2, 0), ""), user!$B:$D, 2, 0), "TIDAK KETEMU"))</f>
        <v>120281219860120113003</v>
      </c>
      <c r="K14" s="39">
        <f>IF(E14="", "", IFERROR(VLOOKUP(IFERROR(VLOOKUP(SUBSTITUTE(E14,"DS ","")&amp;F14, wilayahfix!$A:$D, 2, 0), ""), user!$B:$D, 3, 0), ""))</f>
        <v>250005</v>
      </c>
    </row>
    <row r="15" spans="1:11" ht="15.75" thickBot="1" x14ac:dyDescent="0.3">
      <c r="A15" s="27"/>
      <c r="B15" s="29"/>
      <c r="C15" s="31"/>
      <c r="D15" s="17" t="s">
        <v>428</v>
      </c>
      <c r="E15" s="31"/>
      <c r="F15" s="31"/>
      <c r="G15" s="33"/>
      <c r="H15" s="25"/>
      <c r="I15" s="31"/>
      <c r="J15" s="39"/>
      <c r="K15" s="39"/>
    </row>
    <row r="16" spans="1:11" ht="15" customHeight="1" x14ac:dyDescent="0.25">
      <c r="A16" s="26">
        <v>8</v>
      </c>
      <c r="B16" s="28">
        <v>2603075042</v>
      </c>
      <c r="C16" s="30" t="s">
        <v>429</v>
      </c>
      <c r="D16" s="16" t="s">
        <v>430</v>
      </c>
      <c r="E16" s="30" t="s">
        <v>432</v>
      </c>
      <c r="F16" s="30" t="s">
        <v>12</v>
      </c>
      <c r="G16" s="32">
        <v>270600</v>
      </c>
      <c r="H16" s="34">
        <v>46091</v>
      </c>
      <c r="I16" s="30"/>
      <c r="J16" s="39" t="str">
        <f>IF(E16="", "", IFERROR(VLOOKUP(IFERROR(VLOOKUP(SUBSTITUTE(E16,"DS ","")&amp;F16, wilayahfix!$A:$D, 2, 0), ""), user!$B:$D, 2, 0), "TIDAK KETEMU"))</f>
        <v>120281219860120113003</v>
      </c>
      <c r="K16" s="39">
        <f>IF(E16="", "", IFERROR(VLOOKUP(IFERROR(VLOOKUP(SUBSTITUTE(E16,"DS ","")&amp;F16, wilayahfix!$A:$D, 2, 0), ""), user!$B:$D, 3, 0), ""))</f>
        <v>250005</v>
      </c>
    </row>
    <row r="17" spans="1:11" ht="15.75" thickBot="1" x14ac:dyDescent="0.3">
      <c r="A17" s="27"/>
      <c r="B17" s="29"/>
      <c r="C17" s="31"/>
      <c r="D17" s="17" t="s">
        <v>431</v>
      </c>
      <c r="E17" s="31"/>
      <c r="F17" s="31"/>
      <c r="G17" s="33"/>
      <c r="H17" s="25"/>
      <c r="I17" s="31"/>
      <c r="J17" s="39"/>
      <c r="K17" s="39"/>
    </row>
    <row r="18" spans="1:11" x14ac:dyDescent="0.25">
      <c r="A18" s="26">
        <v>9</v>
      </c>
      <c r="B18" s="28">
        <v>2603083988</v>
      </c>
      <c r="C18" s="30" t="s">
        <v>433</v>
      </c>
      <c r="D18" s="16" t="s">
        <v>434</v>
      </c>
      <c r="E18" s="30" t="s">
        <v>432</v>
      </c>
      <c r="F18" s="30" t="s">
        <v>12</v>
      </c>
      <c r="G18" s="32">
        <v>216700</v>
      </c>
      <c r="H18" s="34">
        <v>46091</v>
      </c>
      <c r="I18" s="30"/>
      <c r="J18" s="39" t="str">
        <f>IF(E18="", "", IFERROR(VLOOKUP(IFERROR(VLOOKUP(SUBSTITUTE(E18,"DS ","")&amp;F18, wilayahfix!$A:$D, 2, 0), ""), user!$B:$D, 2, 0), "TIDAK KETEMU"))</f>
        <v>120281219860120113003</v>
      </c>
      <c r="K18" s="39">
        <f>IF(E18="", "", IFERROR(VLOOKUP(IFERROR(VLOOKUP(SUBSTITUTE(E18,"DS ","")&amp;F18, wilayahfix!$A:$D, 2, 0), ""), user!$B:$D, 3, 0), ""))</f>
        <v>250005</v>
      </c>
    </row>
    <row r="19" spans="1:11" ht="15.75" thickBot="1" x14ac:dyDescent="0.3">
      <c r="A19" s="27"/>
      <c r="B19" s="29"/>
      <c r="C19" s="31"/>
      <c r="D19" s="17" t="s">
        <v>435</v>
      </c>
      <c r="E19" s="31"/>
      <c r="F19" s="31"/>
      <c r="G19" s="33"/>
      <c r="H19" s="25"/>
      <c r="I19" s="31"/>
      <c r="J19" s="39"/>
      <c r="K19" s="39"/>
    </row>
    <row r="20" spans="1:11" x14ac:dyDescent="0.25">
      <c r="A20" s="26">
        <v>10</v>
      </c>
      <c r="B20" s="28">
        <v>2603028068</v>
      </c>
      <c r="C20" s="30" t="s">
        <v>436</v>
      </c>
      <c r="D20" s="16" t="s">
        <v>437</v>
      </c>
      <c r="E20" s="30" t="s">
        <v>13</v>
      </c>
      <c r="F20" s="30" t="s">
        <v>12</v>
      </c>
      <c r="G20" s="32">
        <v>198400</v>
      </c>
      <c r="H20" s="34">
        <v>46091</v>
      </c>
      <c r="I20" s="30"/>
      <c r="J20" s="39" t="str">
        <f>IF(E20="", "", IFERROR(VLOOKUP(IFERROR(VLOOKUP(SUBSTITUTE(E20,"DS ","")&amp;F20, wilayahfix!$A:$D, 2, 0), ""), user!$B:$D, 2, 0), "TIDAK KETEMU"))</f>
        <v>120281219860120113003</v>
      </c>
      <c r="K20" s="39">
        <f>IF(E20="", "", IFERROR(VLOOKUP(IFERROR(VLOOKUP(SUBSTITUTE(E20,"DS ","")&amp;F20, wilayahfix!$A:$D, 2, 0), ""), user!$B:$D, 3, 0), ""))</f>
        <v>250005</v>
      </c>
    </row>
    <row r="21" spans="1:11" ht="15.75" thickBot="1" x14ac:dyDescent="0.3">
      <c r="A21" s="27"/>
      <c r="B21" s="29"/>
      <c r="C21" s="31"/>
      <c r="D21" s="17" t="s">
        <v>438</v>
      </c>
      <c r="E21" s="31"/>
      <c r="F21" s="31"/>
      <c r="G21" s="33"/>
      <c r="H21" s="25"/>
      <c r="I21" s="31"/>
      <c r="J21" s="39"/>
      <c r="K21" s="39"/>
    </row>
    <row r="22" spans="1:11" x14ac:dyDescent="0.25">
      <c r="A22" s="26">
        <v>11</v>
      </c>
      <c r="B22" s="28">
        <v>2603012223</v>
      </c>
      <c r="C22" s="30" t="s">
        <v>439</v>
      </c>
      <c r="D22" s="16" t="s">
        <v>440</v>
      </c>
      <c r="E22" s="30" t="s">
        <v>13</v>
      </c>
      <c r="F22" s="30" t="s">
        <v>12</v>
      </c>
      <c r="G22" s="32">
        <v>198400</v>
      </c>
      <c r="H22" s="34">
        <v>46091</v>
      </c>
      <c r="I22" s="30"/>
      <c r="J22" s="39" t="str">
        <f>IF(E22="", "", IFERROR(VLOOKUP(IFERROR(VLOOKUP(SUBSTITUTE(E22,"DS ","")&amp;F22, wilayahfix!$A:$D, 2, 0), ""), user!$B:$D, 2, 0), "TIDAK KETEMU"))</f>
        <v>120281219860120113003</v>
      </c>
      <c r="K22" s="39">
        <f>IF(E22="", "", IFERROR(VLOOKUP(IFERROR(VLOOKUP(SUBSTITUTE(E22,"DS ","")&amp;F22, wilayahfix!$A:$D, 2, 0), ""), user!$B:$D, 3, 0), ""))</f>
        <v>250005</v>
      </c>
    </row>
    <row r="23" spans="1:11" ht="15.75" thickBot="1" x14ac:dyDescent="0.3">
      <c r="A23" s="27"/>
      <c r="B23" s="29"/>
      <c r="C23" s="31"/>
      <c r="D23" s="17" t="s">
        <v>441</v>
      </c>
      <c r="E23" s="31"/>
      <c r="F23" s="31"/>
      <c r="G23" s="33"/>
      <c r="H23" s="25"/>
      <c r="I23" s="31"/>
      <c r="J23" s="39"/>
      <c r="K23" s="39"/>
    </row>
    <row r="24" spans="1:11" x14ac:dyDescent="0.25">
      <c r="A24" s="26">
        <v>12</v>
      </c>
      <c r="B24" s="28">
        <v>2603087991</v>
      </c>
      <c r="C24" s="30" t="s">
        <v>442</v>
      </c>
      <c r="D24" s="16" t="s">
        <v>443</v>
      </c>
      <c r="E24" s="30" t="s">
        <v>13</v>
      </c>
      <c r="F24" s="30" t="s">
        <v>12</v>
      </c>
      <c r="G24" s="32">
        <v>183500</v>
      </c>
      <c r="H24" s="34">
        <v>46091</v>
      </c>
      <c r="I24" s="30"/>
      <c r="J24" s="39" t="str">
        <f>IF(E24="", "", IFERROR(VLOOKUP(IFERROR(VLOOKUP(SUBSTITUTE(E24,"DS ","")&amp;F24, wilayahfix!$A:$D, 2, 0), ""), user!$B:$D, 2, 0), "TIDAK KETEMU"))</f>
        <v>120281219860120113003</v>
      </c>
      <c r="K24" s="39">
        <f>IF(E24="", "", IFERROR(VLOOKUP(IFERROR(VLOOKUP(SUBSTITUTE(E24,"DS ","")&amp;F24, wilayahfix!$A:$D, 2, 0), ""), user!$B:$D, 3, 0), ""))</f>
        <v>250005</v>
      </c>
    </row>
    <row r="25" spans="1:11" ht="15.75" thickBot="1" x14ac:dyDescent="0.3">
      <c r="A25" s="27"/>
      <c r="B25" s="29"/>
      <c r="C25" s="31"/>
      <c r="D25" s="17" t="s">
        <v>444</v>
      </c>
      <c r="E25" s="31"/>
      <c r="F25" s="31"/>
      <c r="G25" s="33"/>
      <c r="H25" s="25"/>
      <c r="I25" s="31"/>
      <c r="J25" s="39"/>
      <c r="K25" s="39"/>
    </row>
    <row r="26" spans="1:11" x14ac:dyDescent="0.25">
      <c r="A26" s="26">
        <v>13</v>
      </c>
      <c r="B26" s="28">
        <v>2603078723</v>
      </c>
      <c r="C26" s="30" t="s">
        <v>445</v>
      </c>
      <c r="D26" s="16" t="s">
        <v>446</v>
      </c>
      <c r="E26" s="30" t="s">
        <v>15</v>
      </c>
      <c r="F26" s="30" t="s">
        <v>12</v>
      </c>
      <c r="G26" s="32">
        <v>417500</v>
      </c>
      <c r="H26" s="34">
        <v>46091</v>
      </c>
      <c r="I26" s="30"/>
      <c r="J26" s="39" t="str">
        <f>IF(E26="", "", IFERROR(VLOOKUP(IFERROR(VLOOKUP(SUBSTITUTE(E26,"DS ","")&amp;F26, wilayahfix!$A:$D, 2, 0), ""), user!$B:$D, 2, 0), "TIDAK KETEMU"))</f>
        <v>120281219860120113003</v>
      </c>
      <c r="K26" s="39">
        <f>IF(E26="", "", IFERROR(VLOOKUP(IFERROR(VLOOKUP(SUBSTITUTE(E26,"DS ","")&amp;F26, wilayahfix!$A:$D, 2, 0), ""), user!$B:$D, 3, 0), ""))</f>
        <v>250005</v>
      </c>
    </row>
    <row r="27" spans="1:11" ht="15.75" thickBot="1" x14ac:dyDescent="0.3">
      <c r="A27" s="27"/>
      <c r="B27" s="29"/>
      <c r="C27" s="31"/>
      <c r="D27" s="17" t="s">
        <v>447</v>
      </c>
      <c r="E27" s="31"/>
      <c r="F27" s="31"/>
      <c r="G27" s="33"/>
      <c r="H27" s="25"/>
      <c r="I27" s="31"/>
      <c r="J27" s="39"/>
      <c r="K27" s="39"/>
    </row>
    <row r="28" spans="1:11" x14ac:dyDescent="0.25">
      <c r="J28" s="39" t="str">
        <f>IF(E28="", "", IFERROR(VLOOKUP(IFERROR(VLOOKUP(SUBSTITUTE(E28,"DS ","")&amp;F28, wilayahfix!$A:$D, 2, 0), ""), user!$B:$D, 2, 0), "TIDAK KETEMU"))</f>
        <v/>
      </c>
      <c r="K28" s="39" t="str">
        <f>IF(E28="", "", IFERROR(VLOOKUP(IFERROR(VLOOKUP(SUBSTITUTE(E28,"DS ","")&amp;F28, wilayahfix!$A:$D, 2, 0), ""), user!$B:$D, 3, 0), ""))</f>
        <v/>
      </c>
    </row>
    <row r="29" spans="1:11" x14ac:dyDescent="0.25">
      <c r="J29" s="39"/>
      <c r="K29" s="39"/>
    </row>
    <row r="30" spans="1:11" x14ac:dyDescent="0.25">
      <c r="J30" s="39" t="str">
        <f>IF(E30="", "", IFERROR(VLOOKUP(IFERROR(VLOOKUP(SUBSTITUTE(E30,"DS ","")&amp;F30, wilayahfix!$A:$D, 2, 0), ""), user!$B:$D, 2, 0), "TIDAK KETEMU"))</f>
        <v/>
      </c>
      <c r="K30" s="39" t="str">
        <f>IF(E30="", "", IFERROR(VLOOKUP(IFERROR(VLOOKUP(SUBSTITUTE(E30,"DS ","")&amp;F30, wilayahfix!$A:$D, 2, 0), ""), user!$B:$D, 3, 0), ""))</f>
        <v/>
      </c>
    </row>
    <row r="31" spans="1:11" x14ac:dyDescent="0.25">
      <c r="J31" s="39"/>
      <c r="K31" s="39"/>
    </row>
    <row r="32" spans="1:11" x14ac:dyDescent="0.25">
      <c r="J32" s="39" t="str">
        <f>IF(E32="", "", IFERROR(VLOOKUP(IFERROR(VLOOKUP(SUBSTITUTE(E32,"DS ","")&amp;F32, wilayahfix!$A:$D, 2, 0), ""), user!$B:$D, 2, 0), "TIDAK KETEMU"))</f>
        <v/>
      </c>
      <c r="K32" s="39" t="str">
        <f>IF(E32="", "", IFERROR(VLOOKUP(IFERROR(VLOOKUP(SUBSTITUTE(E32,"DS ","")&amp;F32, wilayahfix!$A:$D, 2, 0), ""), user!$B:$D, 3, 0), ""))</f>
        <v/>
      </c>
    </row>
    <row r="33" spans="10:11" x14ac:dyDescent="0.25">
      <c r="J33" s="39"/>
      <c r="K33" s="39"/>
    </row>
    <row r="34" spans="10:11" x14ac:dyDescent="0.25">
      <c r="J34" s="39" t="str">
        <f>IF(E34="", "", IFERROR(VLOOKUP(IFERROR(VLOOKUP(SUBSTITUTE(E34,"DS ","")&amp;F34, wilayahfix!$A:$D, 2, 0), ""), user!$B:$D, 2, 0), "TIDAK KETEMU"))</f>
        <v/>
      </c>
      <c r="K34" s="39" t="str">
        <f>IF(E34="", "", IFERROR(VLOOKUP(IFERROR(VLOOKUP(SUBSTITUTE(E34,"DS ","")&amp;F34, wilayahfix!$A:$D, 2, 0), ""), user!$B:$D, 3, 0), ""))</f>
        <v/>
      </c>
    </row>
    <row r="35" spans="10:11" x14ac:dyDescent="0.25">
      <c r="J35" s="39"/>
      <c r="K35" s="39"/>
    </row>
    <row r="36" spans="10:11" x14ac:dyDescent="0.25">
      <c r="J36" s="39" t="str">
        <f>IF(E36="", "", IFERROR(VLOOKUP(IFERROR(VLOOKUP(SUBSTITUTE(E36,"DS ","")&amp;F36, wilayahfix!$A:$D, 2, 0), ""), user!$B:$D, 2, 0), "TIDAK KETEMU"))</f>
        <v/>
      </c>
      <c r="K36" s="39" t="str">
        <f>IF(E36="", "", IFERROR(VLOOKUP(IFERROR(VLOOKUP(SUBSTITUTE(E36,"DS ","")&amp;F36, wilayahfix!$A:$D, 2, 0), ""), user!$B:$D, 3, 0), ""))</f>
        <v/>
      </c>
    </row>
    <row r="37" spans="10:11" x14ac:dyDescent="0.25">
      <c r="J37" s="39"/>
      <c r="K37" s="39"/>
    </row>
    <row r="38" spans="10:11" x14ac:dyDescent="0.25">
      <c r="J38" s="39" t="str">
        <f>IF(E38="", "", IFERROR(VLOOKUP(IFERROR(VLOOKUP(SUBSTITUTE(E38,"DS ","")&amp;F38, wilayahfix!$A:$D, 2, 0), ""), user!$B:$D, 2, 0), "TIDAK KETEMU"))</f>
        <v/>
      </c>
      <c r="K38" s="39" t="str">
        <f>IF(E38="", "", IFERROR(VLOOKUP(IFERROR(VLOOKUP(SUBSTITUTE(E38,"DS ","")&amp;F38, wilayahfix!$A:$D, 2, 0), ""), user!$B:$D, 3, 0), ""))</f>
        <v/>
      </c>
    </row>
    <row r="39" spans="10:11" x14ac:dyDescent="0.25">
      <c r="J39" s="39"/>
      <c r="K39" s="39"/>
    </row>
    <row r="40" spans="10:11" x14ac:dyDescent="0.25">
      <c r="J40" s="39" t="str">
        <f>IF(E40="", "", IFERROR(VLOOKUP(IFERROR(VLOOKUP(SUBSTITUTE(E40,"DS ","")&amp;F40, wilayahfix!$A:$D, 2, 0), ""), user!$B:$D, 2, 0), "TIDAK KETEMU"))</f>
        <v/>
      </c>
      <c r="K40" s="39" t="str">
        <f>IF(E40="", "", IFERROR(VLOOKUP(IFERROR(VLOOKUP(SUBSTITUTE(E40,"DS ","")&amp;F40, wilayahfix!$A:$D, 2, 0), ""), user!$B:$D, 3, 0), ""))</f>
        <v/>
      </c>
    </row>
    <row r="41" spans="10:11" x14ac:dyDescent="0.25">
      <c r="J41" s="39"/>
      <c r="K41" s="39"/>
    </row>
    <row r="42" spans="10:11" x14ac:dyDescent="0.25">
      <c r="J42" s="39" t="str">
        <f>IF(E42="", "", IFERROR(VLOOKUP(IFERROR(VLOOKUP(SUBSTITUTE(E42,"DS ","")&amp;F42, wilayahfix!$A:$D, 2, 0), ""), user!$B:$D, 2, 0), "TIDAK KETEMU"))</f>
        <v/>
      </c>
      <c r="K42" s="39" t="str">
        <f>IF(E42="", "", IFERROR(VLOOKUP(IFERROR(VLOOKUP(SUBSTITUTE(E42,"DS ","")&amp;F42, wilayahfix!$A:$D, 2, 0), ""), user!$B:$D, 3, 0), ""))</f>
        <v/>
      </c>
    </row>
    <row r="43" spans="10:11" x14ac:dyDescent="0.25">
      <c r="J43" s="39"/>
      <c r="K43" s="39"/>
    </row>
    <row r="44" spans="10:11" x14ac:dyDescent="0.25">
      <c r="J44" s="39" t="str">
        <f>IF(E44="", "", IFERROR(VLOOKUP(IFERROR(VLOOKUP(SUBSTITUTE(E44,"DS ","")&amp;F44, wilayahfix!$A:$D, 2, 0), ""), user!$B:$D, 2, 0), "TIDAK KETEMU"))</f>
        <v/>
      </c>
      <c r="K44" s="39" t="str">
        <f>IF(E44="", "", IFERROR(VLOOKUP(IFERROR(VLOOKUP(SUBSTITUTE(E44,"DS ","")&amp;F44, wilayahfix!$A:$D, 2, 0), ""), user!$B:$D, 3, 0), ""))</f>
        <v/>
      </c>
    </row>
    <row r="45" spans="10:11" x14ac:dyDescent="0.25">
      <c r="J45" s="39"/>
      <c r="K45" s="39"/>
    </row>
    <row r="46" spans="10:11" x14ac:dyDescent="0.25">
      <c r="J46" s="39" t="str">
        <f>IF(E46="", "", IFERROR(VLOOKUP(IFERROR(VLOOKUP(SUBSTITUTE(E46,"DS ","")&amp;F46, wilayahfix!$A:$D, 2, 0), ""), user!$B:$D, 2, 0), "TIDAK KETEMU"))</f>
        <v/>
      </c>
      <c r="K46" s="39" t="str">
        <f>IF(E46="", "", IFERROR(VLOOKUP(IFERROR(VLOOKUP(SUBSTITUTE(E46,"DS ","")&amp;F46, wilayahfix!$A:$D, 2, 0), ""), user!$B:$D, 3, 0), ""))</f>
        <v/>
      </c>
    </row>
    <row r="47" spans="10:11" x14ac:dyDescent="0.25">
      <c r="J47" s="39"/>
      <c r="K47" s="39"/>
    </row>
    <row r="48" spans="10:11" x14ac:dyDescent="0.25">
      <c r="J48" s="39" t="str">
        <f>IF(E48="", "", IFERROR(VLOOKUP(IFERROR(VLOOKUP(SUBSTITUTE(E48,"DS ","")&amp;F48, wilayahfix!$A:$D, 2, 0), ""), user!$B:$D, 2, 0), "TIDAK KETEMU"))</f>
        <v/>
      </c>
      <c r="K48" s="39" t="str">
        <f>IF(E48="", "", IFERROR(VLOOKUP(IFERROR(VLOOKUP(SUBSTITUTE(E48,"DS ","")&amp;F48, wilayahfix!$A:$D, 2, 0), ""), user!$B:$D, 3, 0), ""))</f>
        <v/>
      </c>
    </row>
    <row r="49" spans="10:11" x14ac:dyDescent="0.25">
      <c r="J49" s="39"/>
      <c r="K49" s="39"/>
    </row>
    <row r="50" spans="10:11" x14ac:dyDescent="0.25">
      <c r="J50" s="39" t="str">
        <f>IF(E50="", "", IFERROR(VLOOKUP(IFERROR(VLOOKUP(SUBSTITUTE(E50,"DS ","")&amp;F50, wilayahfix!$A:$D, 2, 0), ""), user!$B:$D, 2, 0), "TIDAK KETEMU"))</f>
        <v/>
      </c>
      <c r="K50" s="39" t="str">
        <f>IF(E50="", "", IFERROR(VLOOKUP(IFERROR(VLOOKUP(SUBSTITUTE(E50,"DS ","")&amp;F50, wilayahfix!$A:$D, 2, 0), ""), user!$B:$D, 3, 0), ""))</f>
        <v/>
      </c>
    </row>
    <row r="51" spans="10:11" x14ac:dyDescent="0.25">
      <c r="J51" s="39"/>
      <c r="K51" s="39"/>
    </row>
    <row r="52" spans="10:11" x14ac:dyDescent="0.25">
      <c r="J52" s="39" t="str">
        <f>IF(E52="", "", IFERROR(VLOOKUP(IFERROR(VLOOKUP(SUBSTITUTE(E52,"DS ","")&amp;F52, wilayahfix!$A:$D, 2, 0), ""), user!$B:$D, 2, 0), "TIDAK KETEMU"))</f>
        <v/>
      </c>
      <c r="K52" s="39" t="str">
        <f>IF(E52="", "", IFERROR(VLOOKUP(IFERROR(VLOOKUP(SUBSTITUTE(E52,"DS ","")&amp;F52, wilayahfix!$A:$D, 2, 0), ""), user!$B:$D, 3, 0), ""))</f>
        <v/>
      </c>
    </row>
    <row r="53" spans="10:11" x14ac:dyDescent="0.25">
      <c r="J53" s="39"/>
      <c r="K53" s="39"/>
    </row>
    <row r="54" spans="10:11" x14ac:dyDescent="0.25">
      <c r="J54" s="39" t="str">
        <f>IF(E54="", "", IFERROR(VLOOKUP(IFERROR(VLOOKUP(SUBSTITUTE(E54,"DS ","")&amp;F54, wilayahfix!$A:$D, 2, 0), ""), user!$B:$D, 2, 0), "TIDAK KETEMU"))</f>
        <v/>
      </c>
      <c r="K54" s="39" t="str">
        <f>IF(E54="", "", IFERROR(VLOOKUP(IFERROR(VLOOKUP(SUBSTITUTE(E54,"DS ","")&amp;F54, wilayahfix!$A:$D, 2, 0), ""), user!$B:$D, 3, 0), ""))</f>
        <v/>
      </c>
    </row>
    <row r="55" spans="10:11" x14ac:dyDescent="0.25">
      <c r="J55" s="39"/>
      <c r="K55" s="39"/>
    </row>
    <row r="56" spans="10:11" x14ac:dyDescent="0.25">
      <c r="J56" s="39" t="str">
        <f>IF(E56="", "", IFERROR(VLOOKUP(IFERROR(VLOOKUP(SUBSTITUTE(E56,"DS ","")&amp;F56, wilayahfix!$A:$D, 2, 0), ""), user!$B:$D, 2, 0), "TIDAK KETEMU"))</f>
        <v/>
      </c>
      <c r="K56" s="39" t="str">
        <f>IF(E56="", "", IFERROR(VLOOKUP(IFERROR(VLOOKUP(SUBSTITUTE(E56,"DS ","")&amp;F56, wilayahfix!$A:$D, 2, 0), ""), user!$B:$D, 3, 0), ""))</f>
        <v/>
      </c>
    </row>
    <row r="57" spans="10:11" x14ac:dyDescent="0.25">
      <c r="J57" s="39"/>
      <c r="K57" s="39"/>
    </row>
    <row r="58" spans="10:11" x14ac:dyDescent="0.25">
      <c r="J58" s="39" t="str">
        <f>IF(E58="", "", IFERROR(VLOOKUP(IFERROR(VLOOKUP(SUBSTITUTE(E58,"DS ","")&amp;F58, wilayahfix!$A:$D, 2, 0), ""), user!$B:$D, 2, 0), "TIDAK KETEMU"))</f>
        <v/>
      </c>
      <c r="K58" s="39" t="str">
        <f>IF(E58="", "", IFERROR(VLOOKUP(IFERROR(VLOOKUP(SUBSTITUTE(E58,"DS ","")&amp;F58, wilayahfix!$A:$D, 2, 0), ""), user!$B:$D, 3, 0), ""))</f>
        <v/>
      </c>
    </row>
    <row r="59" spans="10:11" x14ac:dyDescent="0.25">
      <c r="J59" s="39"/>
      <c r="K59" s="39"/>
    </row>
    <row r="60" spans="10:11" x14ac:dyDescent="0.25">
      <c r="J60" s="39" t="str">
        <f>IF(E60="", "", IFERROR(VLOOKUP(IFERROR(VLOOKUP(SUBSTITUTE(E60,"DS ","")&amp;F60, wilayahfix!$A:$D, 2, 0), ""), user!$B:$D, 2, 0), "TIDAK KETEMU"))</f>
        <v/>
      </c>
      <c r="K60" s="39" t="str">
        <f>IF(E60="", "", IFERROR(VLOOKUP(IFERROR(VLOOKUP(SUBSTITUTE(E60,"DS ","")&amp;F60, wilayahfix!$A:$D, 2, 0), ""), user!$B:$D, 3, 0), ""))</f>
        <v/>
      </c>
    </row>
    <row r="61" spans="10:11" x14ac:dyDescent="0.25">
      <c r="J61" s="39"/>
      <c r="K61" s="39"/>
    </row>
    <row r="62" spans="10:11" x14ac:dyDescent="0.25">
      <c r="J62" s="39" t="str">
        <f>IF(E62="", "", IFERROR(VLOOKUP(IFERROR(VLOOKUP(SUBSTITUTE(E62,"DS ","")&amp;F62, wilayahfix!$A:$D, 2, 0), ""), user!$B:$D, 2, 0), "TIDAK KETEMU"))</f>
        <v/>
      </c>
      <c r="K62" s="39" t="str">
        <f>IF(E62="", "", IFERROR(VLOOKUP(IFERROR(VLOOKUP(SUBSTITUTE(E62,"DS ","")&amp;F62, wilayahfix!$A:$D, 2, 0), ""), user!$B:$D, 3, 0), ""))</f>
        <v/>
      </c>
    </row>
    <row r="63" spans="10:11" x14ac:dyDescent="0.25">
      <c r="J63" s="39"/>
      <c r="K63" s="39"/>
    </row>
    <row r="64" spans="10:11" x14ac:dyDescent="0.25">
      <c r="J64" s="39" t="str">
        <f>IF(E64="", "", IFERROR(VLOOKUP(IFERROR(VLOOKUP(SUBSTITUTE(E64,"DS ","")&amp;F64, wilayahfix!$A:$D, 2, 0), ""), user!$B:$D, 2, 0), "TIDAK KETEMU"))</f>
        <v/>
      </c>
      <c r="K64" s="39" t="str">
        <f>IF(E64="", "", IFERROR(VLOOKUP(IFERROR(VLOOKUP(SUBSTITUTE(E64,"DS ","")&amp;F64, wilayahfix!$A:$D, 2, 0), ""), user!$B:$D, 3, 0), ""))</f>
        <v/>
      </c>
    </row>
    <row r="65" spans="10:11" x14ac:dyDescent="0.25">
      <c r="J65" s="39"/>
      <c r="K65" s="39"/>
    </row>
    <row r="66" spans="10:11" x14ac:dyDescent="0.25">
      <c r="J66" s="39" t="str">
        <f>IF(E66="", "", IFERROR(VLOOKUP(IFERROR(VLOOKUP(SUBSTITUTE(E66,"DS ","")&amp;F66, wilayahfix!$A:$D, 2, 0), ""), user!$B:$D, 2, 0), "TIDAK KETEMU"))</f>
        <v/>
      </c>
      <c r="K66" s="39" t="str">
        <f>IF(E66="", "", IFERROR(VLOOKUP(IFERROR(VLOOKUP(SUBSTITUTE(E66,"DS ","")&amp;F66, wilayahfix!$A:$D, 2, 0), ""), user!$B:$D, 3, 0), ""))</f>
        <v/>
      </c>
    </row>
    <row r="67" spans="10:11" x14ac:dyDescent="0.25">
      <c r="J67" s="39"/>
      <c r="K67" s="39"/>
    </row>
    <row r="68" spans="10:11" x14ac:dyDescent="0.25">
      <c r="J68" s="39" t="str">
        <f>IF(E68="", "", IFERROR(VLOOKUP(IFERROR(VLOOKUP(SUBSTITUTE(E68,"DS ","")&amp;F68, wilayahfix!$A:$D, 2, 0), ""), user!$B:$D, 2, 0), "TIDAK KETEMU"))</f>
        <v/>
      </c>
      <c r="K68" s="39" t="str">
        <f>IF(E68="", "", IFERROR(VLOOKUP(IFERROR(VLOOKUP(SUBSTITUTE(E68,"DS ","")&amp;F68, wilayahfix!$A:$D, 2, 0), ""), user!$B:$D, 3, 0), ""))</f>
        <v/>
      </c>
    </row>
    <row r="69" spans="10:11" x14ac:dyDescent="0.25">
      <c r="J69" s="39"/>
      <c r="K69" s="39"/>
    </row>
    <row r="70" spans="10:11" x14ac:dyDescent="0.25">
      <c r="J70" s="39" t="str">
        <f>IF(E70="", "", IFERROR(VLOOKUP(IFERROR(VLOOKUP(SUBSTITUTE(E70,"DS ","")&amp;F70, wilayahfix!$A:$D, 2, 0), ""), user!$B:$D, 2, 0), "TIDAK KETEMU"))</f>
        <v/>
      </c>
      <c r="K70" s="39" t="str">
        <f>IF(E70="", "", IFERROR(VLOOKUP(IFERROR(VLOOKUP(SUBSTITUTE(E70,"DS ","")&amp;F70, wilayahfix!$A:$D, 2, 0), ""), user!$B:$D, 3, 0), ""))</f>
        <v/>
      </c>
    </row>
    <row r="71" spans="10:11" x14ac:dyDescent="0.25">
      <c r="J71" s="39"/>
      <c r="K71" s="39"/>
    </row>
    <row r="72" spans="10:11" x14ac:dyDescent="0.25">
      <c r="J72" s="39" t="str">
        <f>IF(E72="", "", IFERROR(VLOOKUP(IFERROR(VLOOKUP(SUBSTITUTE(E72,"DS ","")&amp;F72, wilayahfix!$A:$D, 2, 0), ""), user!$B:$D, 2, 0), "TIDAK KETEMU"))</f>
        <v/>
      </c>
      <c r="K72" s="39" t="str">
        <f>IF(E72="", "", IFERROR(VLOOKUP(IFERROR(VLOOKUP(SUBSTITUTE(E72,"DS ","")&amp;F72, wilayahfix!$A:$D, 2, 0), ""), user!$B:$D, 3, 0), ""))</f>
        <v/>
      </c>
    </row>
    <row r="73" spans="10:11" x14ac:dyDescent="0.25">
      <c r="J73" s="39"/>
      <c r="K73" s="39"/>
    </row>
    <row r="74" spans="10:11" x14ac:dyDescent="0.25">
      <c r="J74" s="39" t="str">
        <f>IF(E74="", "", IFERROR(VLOOKUP(IFERROR(VLOOKUP(SUBSTITUTE(E74,"DS ","")&amp;F74, wilayahfix!$A:$D, 2, 0), ""), user!$B:$D, 2, 0), "TIDAK KETEMU"))</f>
        <v/>
      </c>
      <c r="K74" s="39" t="str">
        <f>IF(E74="", "", IFERROR(VLOOKUP(IFERROR(VLOOKUP(SUBSTITUTE(E74,"DS ","")&amp;F74, wilayahfix!$A:$D, 2, 0), ""), user!$B:$D, 3, 0), ""))</f>
        <v/>
      </c>
    </row>
    <row r="75" spans="10:11" x14ac:dyDescent="0.25">
      <c r="J75" s="39"/>
      <c r="K75" s="39"/>
    </row>
    <row r="76" spans="10:11" x14ac:dyDescent="0.25">
      <c r="J76" s="39" t="str">
        <f>IF(E76="", "", IFERROR(VLOOKUP(IFERROR(VLOOKUP(SUBSTITUTE(E76,"DS ","")&amp;F76, wilayahfix!$A:$D, 2, 0), ""), user!$B:$D, 2, 0), "TIDAK KETEMU"))</f>
        <v/>
      </c>
      <c r="K76" s="39" t="str">
        <f>IF(E76="", "", IFERROR(VLOOKUP(IFERROR(VLOOKUP(SUBSTITUTE(E76,"DS ","")&amp;F76, wilayahfix!$A:$D, 2, 0), ""), user!$B:$D, 3, 0), ""))</f>
        <v/>
      </c>
    </row>
    <row r="77" spans="10:11" x14ac:dyDescent="0.25">
      <c r="J77" s="39"/>
      <c r="K77" s="39"/>
    </row>
    <row r="78" spans="10:11" x14ac:dyDescent="0.25">
      <c r="J78" s="39" t="str">
        <f>IF(E78="", "", IFERROR(VLOOKUP(IFERROR(VLOOKUP(SUBSTITUTE(E78,"DS ","")&amp;F78, wilayahfix!$A:$D, 2, 0), ""), user!$B:$D, 2, 0), "TIDAK KETEMU"))</f>
        <v/>
      </c>
      <c r="K78" s="39" t="str">
        <f>IF(E78="", "", IFERROR(VLOOKUP(IFERROR(VLOOKUP(SUBSTITUTE(E78,"DS ","")&amp;F78, wilayahfix!$A:$D, 2, 0), ""), user!$B:$D, 3, 0), ""))</f>
        <v/>
      </c>
    </row>
    <row r="79" spans="10:11" x14ac:dyDescent="0.25">
      <c r="J79" s="39"/>
      <c r="K79" s="39"/>
    </row>
    <row r="80" spans="10:11" x14ac:dyDescent="0.25">
      <c r="J80" s="39" t="str">
        <f>IF(E80="", "", IFERROR(VLOOKUP(IFERROR(VLOOKUP(SUBSTITUTE(E80,"DS ","")&amp;F80, wilayahfix!$A:$D, 2, 0), ""), user!$B:$D, 2, 0), "TIDAK KETEMU"))</f>
        <v/>
      </c>
      <c r="K80" s="39" t="str">
        <f>IF(E80="", "", IFERROR(VLOOKUP(IFERROR(VLOOKUP(SUBSTITUTE(E80,"DS ","")&amp;F80, wilayahfix!$A:$D, 2, 0), ""), user!$B:$D, 3, 0), ""))</f>
        <v/>
      </c>
    </row>
    <row r="81" spans="10:11" x14ac:dyDescent="0.25">
      <c r="J81" s="39"/>
      <c r="K81" s="39"/>
    </row>
    <row r="82" spans="10:11" x14ac:dyDescent="0.25">
      <c r="J82" s="39" t="str">
        <f>IF(E82="", "", IFERROR(VLOOKUP(IFERROR(VLOOKUP(SUBSTITUTE(E82,"DS ","")&amp;F82, wilayahfix!$A:$D, 2, 0), ""), user!$B:$D, 2, 0), "TIDAK KETEMU"))</f>
        <v/>
      </c>
      <c r="K82" s="39" t="str">
        <f>IF(E82="", "", IFERROR(VLOOKUP(IFERROR(VLOOKUP(SUBSTITUTE(E82,"DS ","")&amp;F82, wilayahfix!$A:$D, 2, 0), ""), user!$B:$D, 3, 0), ""))</f>
        <v/>
      </c>
    </row>
    <row r="83" spans="10:11" x14ac:dyDescent="0.25">
      <c r="J83" s="39"/>
      <c r="K83" s="39"/>
    </row>
    <row r="84" spans="10:11" x14ac:dyDescent="0.25">
      <c r="J84" s="39" t="str">
        <f>IF(E84="", "", IFERROR(VLOOKUP(IFERROR(VLOOKUP(SUBSTITUTE(E84,"DS ","")&amp;F84, wilayahfix!$A:$D, 2, 0), ""), user!$B:$D, 2, 0), "TIDAK KETEMU"))</f>
        <v/>
      </c>
      <c r="K84" s="39" t="str">
        <f>IF(E84="", "", IFERROR(VLOOKUP(IFERROR(VLOOKUP(SUBSTITUTE(E84,"DS ","")&amp;F84, wilayahfix!$A:$D, 2, 0), ""), user!$B:$D, 3, 0), ""))</f>
        <v/>
      </c>
    </row>
    <row r="85" spans="10:11" x14ac:dyDescent="0.25">
      <c r="J85" s="39"/>
      <c r="K85" s="39"/>
    </row>
    <row r="86" spans="10:11" x14ac:dyDescent="0.25">
      <c r="J86" s="39" t="str">
        <f>IF(E86="", "", IFERROR(VLOOKUP(IFERROR(VLOOKUP(SUBSTITUTE(E86,"DS ","")&amp;F86, wilayahfix!$A:$D, 2, 0), ""), user!$B:$D, 2, 0), "TIDAK KETEMU"))</f>
        <v/>
      </c>
      <c r="K86" s="39" t="str">
        <f>IF(E86="", "", IFERROR(VLOOKUP(IFERROR(VLOOKUP(SUBSTITUTE(E86,"DS ","")&amp;F86, wilayahfix!$A:$D, 2, 0), ""), user!$B:$D, 3, 0), ""))</f>
        <v/>
      </c>
    </row>
    <row r="87" spans="10:11" x14ac:dyDescent="0.25">
      <c r="J87" s="39"/>
      <c r="K87" s="39"/>
    </row>
    <row r="88" spans="10:11" x14ac:dyDescent="0.25">
      <c r="J88" s="39" t="str">
        <f>IF(E88="", "", IFERROR(VLOOKUP(IFERROR(VLOOKUP(SUBSTITUTE(E88,"DS ","")&amp;F88, wilayahfix!$A:$D, 2, 0), ""), user!$B:$D, 2, 0), "TIDAK KETEMU"))</f>
        <v/>
      </c>
      <c r="K88" s="39" t="str">
        <f>IF(E88="", "", IFERROR(VLOOKUP(IFERROR(VLOOKUP(SUBSTITUTE(E88,"DS ","")&amp;F88, wilayahfix!$A:$D, 2, 0), ""), user!$B:$D, 3, 0), ""))</f>
        <v/>
      </c>
    </row>
    <row r="89" spans="10:11" x14ac:dyDescent="0.25">
      <c r="J89" s="39"/>
      <c r="K89" s="39"/>
    </row>
    <row r="90" spans="10:11" x14ac:dyDescent="0.25">
      <c r="J90" s="39" t="str">
        <f>IF(E90="", "", IFERROR(VLOOKUP(IFERROR(VLOOKUP(SUBSTITUTE(E90,"DS ","")&amp;F90, wilayahfix!$A:$D, 2, 0), ""), user!$B:$D, 2, 0), "TIDAK KETEMU"))</f>
        <v/>
      </c>
      <c r="K90" s="39" t="str">
        <f>IF(E90="", "", IFERROR(VLOOKUP(IFERROR(VLOOKUP(SUBSTITUTE(E90,"DS ","")&amp;F90, wilayahfix!$A:$D, 2, 0), ""), user!$B:$D, 3, 0), ""))</f>
        <v/>
      </c>
    </row>
    <row r="91" spans="10:11" x14ac:dyDescent="0.25">
      <c r="J91" s="39"/>
      <c r="K91" s="39"/>
    </row>
    <row r="92" spans="10:11" x14ac:dyDescent="0.25">
      <c r="J92" s="39" t="str">
        <f>IF(E92="", "", IFERROR(VLOOKUP(IFERROR(VLOOKUP(SUBSTITUTE(E92,"DS ","")&amp;F92, wilayahfix!$A:$D, 2, 0), ""), user!$B:$D, 2, 0), "TIDAK KETEMU"))</f>
        <v/>
      </c>
      <c r="K92" s="39" t="str">
        <f>IF(E92="", "", IFERROR(VLOOKUP(IFERROR(VLOOKUP(SUBSTITUTE(E92,"DS ","")&amp;F92, wilayahfix!$A:$D, 2, 0), ""), user!$B:$D, 3, 0), ""))</f>
        <v/>
      </c>
    </row>
    <row r="93" spans="10:11" x14ac:dyDescent="0.25">
      <c r="J93" s="39"/>
      <c r="K93" s="39"/>
    </row>
    <row r="94" spans="10:11" x14ac:dyDescent="0.25">
      <c r="J94" s="39" t="str">
        <f>IF(E94="", "", IFERROR(VLOOKUP(IFERROR(VLOOKUP(SUBSTITUTE(E94,"DS ","")&amp;F94, wilayahfix!$A:$D, 2, 0), ""), user!$B:$D, 2, 0), "TIDAK KETEMU"))</f>
        <v/>
      </c>
      <c r="K94" s="39" t="str">
        <f>IF(E94="", "", IFERROR(VLOOKUP(IFERROR(VLOOKUP(SUBSTITUTE(E94,"DS ","")&amp;F94, wilayahfix!$A:$D, 2, 0), ""), user!$B:$D, 3, 0), ""))</f>
        <v/>
      </c>
    </row>
    <row r="95" spans="10:11" x14ac:dyDescent="0.25">
      <c r="J95" s="39"/>
      <c r="K95" s="39"/>
    </row>
    <row r="96" spans="10:11" x14ac:dyDescent="0.25">
      <c r="J96" s="39" t="str">
        <f>IF(E96="", "", IFERROR(VLOOKUP(IFERROR(VLOOKUP(SUBSTITUTE(E96,"DS ","")&amp;F96, wilayahfix!$A:$D, 2, 0), ""), user!$B:$D, 2, 0), "TIDAK KETEMU"))</f>
        <v/>
      </c>
      <c r="K96" s="39" t="str">
        <f>IF(E96="", "", IFERROR(VLOOKUP(IFERROR(VLOOKUP(SUBSTITUTE(E96,"DS ","")&amp;F96, wilayahfix!$A:$D, 2, 0), ""), user!$B:$D, 3, 0), ""))</f>
        <v/>
      </c>
    </row>
    <row r="97" spans="10:11" x14ac:dyDescent="0.25">
      <c r="J97" s="39"/>
      <c r="K97" s="39"/>
    </row>
    <row r="98" spans="10:11" x14ac:dyDescent="0.25">
      <c r="J98" s="39" t="str">
        <f>IF(E98="", "", IFERROR(VLOOKUP(IFERROR(VLOOKUP(SUBSTITUTE(E98,"DS ","")&amp;F98, wilayahfix!$A:$D, 2, 0), ""), user!$B:$D, 2, 0), "TIDAK KETEMU"))</f>
        <v/>
      </c>
      <c r="K98" s="39" t="str">
        <f>IF(E98="", "", IFERROR(VLOOKUP(IFERROR(VLOOKUP(SUBSTITUTE(E98,"DS ","")&amp;F98, wilayahfix!$A:$D, 2, 0), ""), user!$B:$D, 3, 0), ""))</f>
        <v/>
      </c>
    </row>
    <row r="99" spans="10:11" x14ac:dyDescent="0.25">
      <c r="J99" s="39"/>
      <c r="K99" s="39"/>
    </row>
    <row r="100" spans="10:11" x14ac:dyDescent="0.25">
      <c r="J100" s="39" t="str">
        <f>IF(E100="", "", IFERROR(VLOOKUP(IFERROR(VLOOKUP(SUBSTITUTE(E100,"DS ","")&amp;F100, wilayahfix!$A:$D, 2, 0), ""), user!$B:$D, 2, 0), "TIDAK KETEMU"))</f>
        <v/>
      </c>
      <c r="K100" s="39" t="str">
        <f>IF(E100="", "", IFERROR(VLOOKUP(IFERROR(VLOOKUP(SUBSTITUTE(E100,"DS ","")&amp;F100, wilayahfix!$A:$D, 2, 0), ""), user!$B:$D, 3, 0), ""))</f>
        <v/>
      </c>
    </row>
    <row r="101" spans="10:11" x14ac:dyDescent="0.25">
      <c r="J101" s="39"/>
      <c r="K101" s="39"/>
    </row>
    <row r="102" spans="10:11" x14ac:dyDescent="0.25">
      <c r="J102" s="39" t="str">
        <f>IF(E102="", "", IFERROR(VLOOKUP(IFERROR(VLOOKUP(SUBSTITUTE(E102,"DS ","")&amp;F102, wilayahfix!$A:$D, 2, 0), ""), user!$B:$D, 2, 0), "TIDAK KETEMU"))</f>
        <v/>
      </c>
      <c r="K102" s="39" t="str">
        <f>IF(E102="", "", IFERROR(VLOOKUP(IFERROR(VLOOKUP(SUBSTITUTE(E102,"DS ","")&amp;F102, wilayahfix!$A:$D, 2, 0), ""), user!$B:$D, 3, 0), ""))</f>
        <v/>
      </c>
    </row>
    <row r="103" spans="10:11" x14ac:dyDescent="0.25">
      <c r="J103" s="39"/>
      <c r="K103" s="39"/>
    </row>
    <row r="104" spans="10:11" x14ac:dyDescent="0.25">
      <c r="J104" s="39" t="str">
        <f>IF(E104="", "", IFERROR(VLOOKUP(IFERROR(VLOOKUP(SUBSTITUTE(E104,"DS ","")&amp;F104, wilayahfix!$A:$D, 2, 0), ""), user!$B:$D, 2, 0), "TIDAK KETEMU"))</f>
        <v/>
      </c>
      <c r="K104" s="39" t="str">
        <f>IF(E104="", "", IFERROR(VLOOKUP(IFERROR(VLOOKUP(SUBSTITUTE(E104,"DS ","")&amp;F104, wilayahfix!$A:$D, 2, 0), ""), user!$B:$D, 3, 0), ""))</f>
        <v/>
      </c>
    </row>
    <row r="105" spans="10:11" x14ac:dyDescent="0.25">
      <c r="J105" s="39"/>
      <c r="K105" s="39"/>
    </row>
    <row r="106" spans="10:11" x14ac:dyDescent="0.25">
      <c r="J106" s="39" t="str">
        <f>IF(E106="", "", IFERROR(VLOOKUP(IFERROR(VLOOKUP(SUBSTITUTE(E106,"DS ","")&amp;F106, wilayahfix!$A:$D, 2, 0), ""), user!$B:$D, 2, 0), "TIDAK KETEMU"))</f>
        <v/>
      </c>
      <c r="K106" s="39" t="str">
        <f>IF(E106="", "", IFERROR(VLOOKUP(IFERROR(VLOOKUP(SUBSTITUTE(E106,"DS ","")&amp;F106, wilayahfix!$A:$D, 2, 0), ""), user!$B:$D, 3, 0), ""))</f>
        <v/>
      </c>
    </row>
    <row r="107" spans="10:11" x14ac:dyDescent="0.25">
      <c r="J107" s="39"/>
      <c r="K107" s="39"/>
    </row>
    <row r="108" spans="10:11" x14ac:dyDescent="0.25">
      <c r="J108" s="39" t="str">
        <f>IF(E108="", "", IFERROR(VLOOKUP(IFERROR(VLOOKUP(SUBSTITUTE(E108,"DS ","")&amp;F108, wilayahfix!$A:$D, 2, 0), ""), user!$B:$D, 2, 0), "TIDAK KETEMU"))</f>
        <v/>
      </c>
      <c r="K108" s="39" t="str">
        <f>IF(E108="", "", IFERROR(VLOOKUP(IFERROR(VLOOKUP(SUBSTITUTE(E108,"DS ","")&amp;F108, wilayahfix!$A:$D, 2, 0), ""), user!$B:$D, 3, 0), ""))</f>
        <v/>
      </c>
    </row>
    <row r="109" spans="10:11" x14ac:dyDescent="0.25">
      <c r="J109" s="39"/>
      <c r="K109" s="39"/>
    </row>
    <row r="110" spans="10:11" x14ac:dyDescent="0.25">
      <c r="J110" s="39" t="str">
        <f>IF(E110="", "", IFERROR(VLOOKUP(IFERROR(VLOOKUP(SUBSTITUTE(E110,"DS ","")&amp;F110, wilayahfix!$A:$D, 2, 0), ""), user!$B:$D, 2, 0), "TIDAK KETEMU"))</f>
        <v/>
      </c>
      <c r="K110" s="39" t="str">
        <f>IF(E110="", "", IFERROR(VLOOKUP(IFERROR(VLOOKUP(SUBSTITUTE(E110,"DS ","")&amp;F110, wilayahfix!$A:$D, 2, 0), ""), user!$B:$D, 3, 0), ""))</f>
        <v/>
      </c>
    </row>
    <row r="111" spans="10:11" x14ac:dyDescent="0.25">
      <c r="J111" s="39"/>
      <c r="K111" s="39"/>
    </row>
    <row r="112" spans="10:11" x14ac:dyDescent="0.25">
      <c r="J112" s="39" t="str">
        <f>IF(E112="", "", IFERROR(VLOOKUP(IFERROR(VLOOKUP(SUBSTITUTE(E112,"DS ","")&amp;F112, wilayahfix!$A:$D, 2, 0), ""), user!$B:$D, 2, 0), "TIDAK KETEMU"))</f>
        <v/>
      </c>
      <c r="K112" s="39" t="str">
        <f>IF(E112="", "", IFERROR(VLOOKUP(IFERROR(VLOOKUP(SUBSTITUTE(E112,"DS ","")&amp;F112, wilayahfix!$A:$D, 2, 0), ""), user!$B:$D, 3, 0), ""))</f>
        <v/>
      </c>
    </row>
    <row r="113" spans="10:11" x14ac:dyDescent="0.25">
      <c r="J113" s="39"/>
      <c r="K113" s="39"/>
    </row>
    <row r="114" spans="10:11" x14ac:dyDescent="0.25">
      <c r="J114" s="39" t="str">
        <f>IF(E114="", "", IFERROR(VLOOKUP(IFERROR(VLOOKUP(SUBSTITUTE(E114,"DS ","")&amp;F114, wilayahfix!$A:$D, 2, 0), ""), user!$B:$D, 2, 0), "TIDAK KETEMU"))</f>
        <v/>
      </c>
      <c r="K114" s="39" t="str">
        <f>IF(E114="", "", IFERROR(VLOOKUP(IFERROR(VLOOKUP(SUBSTITUTE(E114,"DS ","")&amp;F114, wilayahfix!$A:$D, 2, 0), ""), user!$B:$D, 3, 0), ""))</f>
        <v/>
      </c>
    </row>
    <row r="115" spans="10:11" x14ac:dyDescent="0.25">
      <c r="J115" s="39"/>
      <c r="K115" s="39"/>
    </row>
    <row r="116" spans="10:11" x14ac:dyDescent="0.25">
      <c r="J116" s="39" t="str">
        <f>IF(E116="", "", IFERROR(VLOOKUP(IFERROR(VLOOKUP(SUBSTITUTE(E116,"DS ","")&amp;F116, wilayahfix!$A:$D, 2, 0), ""), user!$B:$D, 2, 0), "TIDAK KETEMU"))</f>
        <v/>
      </c>
      <c r="K116" s="39" t="str">
        <f>IF(E116="", "", IFERROR(VLOOKUP(IFERROR(VLOOKUP(SUBSTITUTE(E116,"DS ","")&amp;F116, wilayahfix!$A:$D, 2, 0), ""), user!$B:$D, 3, 0), ""))</f>
        <v/>
      </c>
    </row>
    <row r="117" spans="10:11" x14ac:dyDescent="0.25">
      <c r="J117" s="39"/>
      <c r="K117" s="39"/>
    </row>
    <row r="118" spans="10:11" x14ac:dyDescent="0.25">
      <c r="J118" s="39" t="str">
        <f>IF(E118="", "", IFERROR(VLOOKUP(IFERROR(VLOOKUP(SUBSTITUTE(E118,"DS ","")&amp;F118, wilayahfix!$A:$D, 2, 0), ""), user!$B:$D, 2, 0), "TIDAK KETEMU"))</f>
        <v/>
      </c>
      <c r="K118" s="39" t="str">
        <f>IF(E118="", "", IFERROR(VLOOKUP(IFERROR(VLOOKUP(SUBSTITUTE(E118,"DS ","")&amp;F118, wilayahfix!$A:$D, 2, 0), ""), user!$B:$D, 3, 0), ""))</f>
        <v/>
      </c>
    </row>
    <row r="119" spans="10:11" x14ac:dyDescent="0.25">
      <c r="J119" s="39"/>
      <c r="K119" s="39"/>
    </row>
    <row r="120" spans="10:11" x14ac:dyDescent="0.25">
      <c r="J120" s="39" t="str">
        <f>IF(E120="", "", IFERROR(VLOOKUP(IFERROR(VLOOKUP(SUBSTITUTE(E120,"DS ","")&amp;F120, wilayahfix!$A:$D, 2, 0), ""), user!$B:$D, 2, 0), "TIDAK KETEMU"))</f>
        <v/>
      </c>
      <c r="K120" s="39" t="str">
        <f>IF(E120="", "", IFERROR(VLOOKUP(IFERROR(VLOOKUP(SUBSTITUTE(E120,"DS ","")&amp;F120, wilayahfix!$A:$D, 2, 0), ""), user!$B:$D, 3, 0), ""))</f>
        <v/>
      </c>
    </row>
    <row r="121" spans="10:11" x14ac:dyDescent="0.25">
      <c r="J121" s="39"/>
      <c r="K121" s="39"/>
    </row>
    <row r="122" spans="10:11" x14ac:dyDescent="0.25">
      <c r="J122" s="39" t="str">
        <f>IF(E122="", "", IFERROR(VLOOKUP(IFERROR(VLOOKUP(SUBSTITUTE(E122,"DS ","")&amp;F122, wilayahfix!$A:$D, 2, 0), ""), user!$B:$D, 2, 0), "TIDAK KETEMU"))</f>
        <v/>
      </c>
      <c r="K122" s="39" t="str">
        <f>IF(E122="", "", IFERROR(VLOOKUP(IFERROR(VLOOKUP(SUBSTITUTE(E122,"DS ","")&amp;F122, wilayahfix!$A:$D, 2, 0), ""), user!$B:$D, 3, 0), ""))</f>
        <v/>
      </c>
    </row>
    <row r="123" spans="10:11" x14ac:dyDescent="0.25">
      <c r="J123" s="39"/>
      <c r="K123" s="39"/>
    </row>
    <row r="124" spans="10:11" x14ac:dyDescent="0.25">
      <c r="J124" s="39" t="str">
        <f>IF(E124="", "", IFERROR(VLOOKUP(IFERROR(VLOOKUP(SUBSTITUTE(E124,"DS ","")&amp;F124, wilayahfix!$A:$D, 2, 0), ""), user!$B:$D, 2, 0), "TIDAK KETEMU"))</f>
        <v/>
      </c>
      <c r="K124" s="39" t="str">
        <f>IF(E124="", "", IFERROR(VLOOKUP(IFERROR(VLOOKUP(SUBSTITUTE(E124,"DS ","")&amp;F124, wilayahfix!$A:$D, 2, 0), ""), user!$B:$D, 3, 0), ""))</f>
        <v/>
      </c>
    </row>
    <row r="125" spans="10:11" x14ac:dyDescent="0.25">
      <c r="J125" s="39"/>
      <c r="K125" s="39"/>
    </row>
    <row r="126" spans="10:11" x14ac:dyDescent="0.25">
      <c r="J126" s="39" t="str">
        <f>IF(E126="", "", IFERROR(VLOOKUP(IFERROR(VLOOKUP(SUBSTITUTE(E126,"DS ","")&amp;F126, wilayahfix!$A:$D, 2, 0), ""), user!$B:$D, 2, 0), "TIDAK KETEMU"))</f>
        <v/>
      </c>
      <c r="K126" s="39" t="str">
        <f>IF(E126="", "", IFERROR(VLOOKUP(IFERROR(VLOOKUP(SUBSTITUTE(E126,"DS ","")&amp;F126, wilayahfix!$A:$D, 2, 0), ""), user!$B:$D, 3, 0), ""))</f>
        <v/>
      </c>
    </row>
    <row r="127" spans="10:11" x14ac:dyDescent="0.25">
      <c r="J127" s="39"/>
      <c r="K127" s="39"/>
    </row>
    <row r="128" spans="10:11" x14ac:dyDescent="0.25">
      <c r="J128" s="39" t="str">
        <f>IF(E128="", "", IFERROR(VLOOKUP(IFERROR(VLOOKUP(SUBSTITUTE(E128,"DS ","")&amp;F128, wilayahfix!$A:$D, 2, 0), ""), user!$B:$D, 2, 0), "TIDAK KETEMU"))</f>
        <v/>
      </c>
      <c r="K128" s="39" t="str">
        <f>IF(E128="", "", IFERROR(VLOOKUP(IFERROR(VLOOKUP(SUBSTITUTE(E128,"DS ","")&amp;F128, wilayahfix!$A:$D, 2, 0), ""), user!$B:$D, 3, 0), ""))</f>
        <v/>
      </c>
    </row>
    <row r="129" spans="10:11" x14ac:dyDescent="0.25">
      <c r="J129" s="39"/>
      <c r="K129" s="39"/>
    </row>
    <row r="130" spans="10:11" x14ac:dyDescent="0.25">
      <c r="J130" s="39" t="str">
        <f>IF(E130="", "", IFERROR(VLOOKUP(IFERROR(VLOOKUP(SUBSTITUTE(E130,"DS ","")&amp;F130, wilayahfix!$A:$D, 2, 0), ""), user!$B:$D, 2, 0), "TIDAK KETEMU"))</f>
        <v/>
      </c>
      <c r="K130" s="39" t="str">
        <f>IF(E130="", "", IFERROR(VLOOKUP(IFERROR(VLOOKUP(SUBSTITUTE(E130,"DS ","")&amp;F130, wilayahfix!$A:$D, 2, 0), ""), user!$B:$D, 3, 0), ""))</f>
        <v/>
      </c>
    </row>
    <row r="131" spans="10:11" x14ac:dyDescent="0.25">
      <c r="J131" s="39"/>
      <c r="K131" s="39"/>
    </row>
    <row r="132" spans="10:11" x14ac:dyDescent="0.25">
      <c r="J132" s="39" t="str">
        <f>IF(E132="", "", IFERROR(VLOOKUP(IFERROR(VLOOKUP(SUBSTITUTE(E132,"DS ","")&amp;F132, wilayahfix!$A:$D, 2, 0), ""), user!$B:$D, 2, 0), "TIDAK KETEMU"))</f>
        <v/>
      </c>
      <c r="K132" s="39" t="str">
        <f>IF(E132="", "", IFERROR(VLOOKUP(IFERROR(VLOOKUP(SUBSTITUTE(E132,"DS ","")&amp;F132, wilayahfix!$A:$D, 2, 0), ""), user!$B:$D, 3, 0), ""))</f>
        <v/>
      </c>
    </row>
    <row r="133" spans="10:11" x14ac:dyDescent="0.25">
      <c r="J133" s="39"/>
      <c r="K133" s="39"/>
    </row>
    <row r="134" spans="10:11" x14ac:dyDescent="0.25">
      <c r="J134" s="39" t="str">
        <f>IF(E134="", "", IFERROR(VLOOKUP(IFERROR(VLOOKUP(SUBSTITUTE(E134,"DS ","")&amp;F134, wilayahfix!$A:$D, 2, 0), ""), user!$B:$D, 2, 0), "TIDAK KETEMU"))</f>
        <v/>
      </c>
      <c r="K134" s="39" t="str">
        <f>IF(E134="", "", IFERROR(VLOOKUP(IFERROR(VLOOKUP(SUBSTITUTE(E134,"DS ","")&amp;F134, wilayahfix!$A:$D, 2, 0), ""), user!$B:$D, 3, 0), ""))</f>
        <v/>
      </c>
    </row>
    <row r="135" spans="10:11" x14ac:dyDescent="0.25">
      <c r="J135" s="39"/>
      <c r="K135" s="39"/>
    </row>
    <row r="136" spans="10:11" x14ac:dyDescent="0.25">
      <c r="J136" s="39" t="str">
        <f>IF(E136="", "", IFERROR(VLOOKUP(IFERROR(VLOOKUP(SUBSTITUTE(E136,"DS ","")&amp;F136, wilayahfix!$A:$D, 2, 0), ""), user!$B:$D, 2, 0), "TIDAK KETEMU"))</f>
        <v/>
      </c>
      <c r="K136" s="39" t="str">
        <f>IF(E136="", "", IFERROR(VLOOKUP(IFERROR(VLOOKUP(SUBSTITUTE(E136,"DS ","")&amp;F136, wilayahfix!$A:$D, 2, 0), ""), user!$B:$D, 3, 0), ""))</f>
        <v/>
      </c>
    </row>
    <row r="137" spans="10:11" x14ac:dyDescent="0.25">
      <c r="J137" s="39"/>
      <c r="K137" s="39"/>
    </row>
    <row r="138" spans="10:11" x14ac:dyDescent="0.25">
      <c r="J138" s="39" t="str">
        <f>IF(E138="", "", IFERROR(VLOOKUP(IFERROR(VLOOKUP(SUBSTITUTE(E138,"DS ","")&amp;F138, wilayahfix!$A:$D, 2, 0), ""), user!$B:$D, 2, 0), "TIDAK KETEMU"))</f>
        <v/>
      </c>
      <c r="K138" s="39" t="str">
        <f>IF(E138="", "", IFERROR(VLOOKUP(IFERROR(VLOOKUP(SUBSTITUTE(E138,"DS ","")&amp;F138, wilayahfix!$A:$D, 2, 0), ""), user!$B:$D, 3, 0), ""))</f>
        <v/>
      </c>
    </row>
    <row r="139" spans="10:11" x14ac:dyDescent="0.25">
      <c r="J139" s="39"/>
      <c r="K139" s="39"/>
    </row>
    <row r="140" spans="10:11" x14ac:dyDescent="0.25">
      <c r="J140" s="39" t="str">
        <f>IF(E140="", "", IFERROR(VLOOKUP(IFERROR(VLOOKUP(SUBSTITUTE(E140,"DS ","")&amp;F140, wilayahfix!$A:$D, 2, 0), ""), user!$B:$D, 2, 0), "TIDAK KETEMU"))</f>
        <v/>
      </c>
      <c r="K140" s="39" t="str">
        <f>IF(E140="", "", IFERROR(VLOOKUP(IFERROR(VLOOKUP(SUBSTITUTE(E140,"DS ","")&amp;F140, wilayahfix!$A:$D, 2, 0), ""), user!$B:$D, 3, 0), ""))</f>
        <v/>
      </c>
    </row>
    <row r="141" spans="10:11" x14ac:dyDescent="0.25">
      <c r="J141" s="39"/>
      <c r="K141" s="39"/>
    </row>
    <row r="142" spans="10:11" x14ac:dyDescent="0.25">
      <c r="J142" s="39" t="str">
        <f>IF(E142="", "", IFERROR(VLOOKUP(IFERROR(VLOOKUP(SUBSTITUTE(E142,"DS ","")&amp;F142, wilayahfix!$A:$D, 2, 0), ""), user!$B:$D, 2, 0), "TIDAK KETEMU"))</f>
        <v/>
      </c>
      <c r="K142" s="39" t="str">
        <f>IF(E142="", "", IFERROR(VLOOKUP(IFERROR(VLOOKUP(SUBSTITUTE(E142,"DS ","")&amp;F142, wilayahfix!$A:$D, 2, 0), ""), user!$B:$D, 3, 0), ""))</f>
        <v/>
      </c>
    </row>
    <row r="143" spans="10:11" x14ac:dyDescent="0.25">
      <c r="J143" s="39"/>
      <c r="K143" s="39"/>
    </row>
    <row r="144" spans="10:11" x14ac:dyDescent="0.25">
      <c r="J144" s="39" t="str">
        <f>IF(E144="", "", IFERROR(VLOOKUP(IFERROR(VLOOKUP(SUBSTITUTE(E144,"DS ","")&amp;F144, wilayahfix!$A:$D, 2, 0), ""), user!$B:$D, 2, 0), "TIDAK KETEMU"))</f>
        <v/>
      </c>
      <c r="K144" s="39" t="str">
        <f>IF(E144="", "", IFERROR(VLOOKUP(IFERROR(VLOOKUP(SUBSTITUTE(E144,"DS ","")&amp;F144, wilayahfix!$A:$D, 2, 0), ""), user!$B:$D, 3, 0), ""))</f>
        <v/>
      </c>
    </row>
    <row r="145" spans="10:11" x14ac:dyDescent="0.25">
      <c r="J145" s="39"/>
      <c r="K145" s="39"/>
    </row>
    <row r="146" spans="10:11" x14ac:dyDescent="0.25">
      <c r="J146" s="39" t="str">
        <f>IF(E146="", "", IFERROR(VLOOKUP(IFERROR(VLOOKUP(SUBSTITUTE(E146,"DS ","")&amp;F146, wilayahfix!$A:$D, 2, 0), ""), user!$B:$D, 2, 0), "TIDAK KETEMU"))</f>
        <v/>
      </c>
      <c r="K146" s="39" t="str">
        <f>IF(E146="", "", IFERROR(VLOOKUP(IFERROR(VLOOKUP(SUBSTITUTE(E146,"DS ","")&amp;F146, wilayahfix!$A:$D, 2, 0), ""), user!$B:$D, 3, 0), ""))</f>
        <v/>
      </c>
    </row>
    <row r="147" spans="10:11" x14ac:dyDescent="0.25">
      <c r="J147" s="39"/>
      <c r="K147" s="39"/>
    </row>
    <row r="148" spans="10:11" x14ac:dyDescent="0.25">
      <c r="J148" s="39" t="str">
        <f>IF(E148="", "", IFERROR(VLOOKUP(IFERROR(VLOOKUP(SUBSTITUTE(E148,"DS ","")&amp;F148, wilayahfix!$A:$D, 2, 0), ""), user!$B:$D, 2, 0), "TIDAK KETEMU"))</f>
        <v/>
      </c>
      <c r="K148" s="39" t="str">
        <f>IF(E148="", "", IFERROR(VLOOKUP(IFERROR(VLOOKUP(SUBSTITUTE(E148,"DS ","")&amp;F148, wilayahfix!$A:$D, 2, 0), ""), user!$B:$D, 3, 0), ""))</f>
        <v/>
      </c>
    </row>
    <row r="149" spans="10:11" x14ac:dyDescent="0.25">
      <c r="J149" s="39"/>
      <c r="K149" s="39"/>
    </row>
    <row r="150" spans="10:11" x14ac:dyDescent="0.25">
      <c r="J150" s="39" t="str">
        <f>IF(E150="", "", IFERROR(VLOOKUP(IFERROR(VLOOKUP(SUBSTITUTE(E150,"DS ","")&amp;F150, wilayahfix!$A:$D, 2, 0), ""), user!$B:$D, 2, 0), "TIDAK KETEMU"))</f>
        <v/>
      </c>
      <c r="K150" s="39" t="str">
        <f>IF(E150="", "", IFERROR(VLOOKUP(IFERROR(VLOOKUP(SUBSTITUTE(E150,"DS ","")&amp;F150, wilayahfix!$A:$D, 2, 0), ""), user!$B:$D, 3, 0), ""))</f>
        <v/>
      </c>
    </row>
    <row r="151" spans="10:11" x14ac:dyDescent="0.25">
      <c r="J151" s="39"/>
      <c r="K151" s="39"/>
    </row>
    <row r="152" spans="10:11" x14ac:dyDescent="0.25">
      <c r="J152" s="39" t="str">
        <f>IF(E152="", "", IFERROR(VLOOKUP(IFERROR(VLOOKUP(SUBSTITUTE(E152,"DS ","")&amp;F152, wilayahfix!$A:$D, 2, 0), ""), user!$B:$D, 2, 0), "TIDAK KETEMU"))</f>
        <v/>
      </c>
      <c r="K152" s="39" t="str">
        <f>IF(E152="", "", IFERROR(VLOOKUP(IFERROR(VLOOKUP(SUBSTITUTE(E152,"DS ","")&amp;F152, wilayahfix!$A:$D, 2, 0), ""), user!$B:$D, 3, 0), ""))</f>
        <v/>
      </c>
    </row>
    <row r="153" spans="10:11" x14ac:dyDescent="0.25">
      <c r="J153" s="39"/>
      <c r="K153" s="39"/>
    </row>
    <row r="154" spans="10:11" x14ac:dyDescent="0.25">
      <c r="J154" s="39" t="str">
        <f>IF(E154="", "", IFERROR(VLOOKUP(IFERROR(VLOOKUP(SUBSTITUTE(E154,"DS ","")&amp;F154, wilayahfix!$A:$D, 2, 0), ""), user!$B:$D, 2, 0), "TIDAK KETEMU"))</f>
        <v/>
      </c>
      <c r="K154" s="39" t="str">
        <f>IF(E154="", "", IFERROR(VLOOKUP(IFERROR(VLOOKUP(SUBSTITUTE(E154,"DS ","")&amp;F154, wilayahfix!$A:$D, 2, 0), ""), user!$B:$D, 3, 0), ""))</f>
        <v/>
      </c>
    </row>
    <row r="155" spans="10:11" x14ac:dyDescent="0.25">
      <c r="J155" s="39"/>
      <c r="K155" s="39"/>
    </row>
    <row r="156" spans="10:11" x14ac:dyDescent="0.25">
      <c r="J156" s="39" t="str">
        <f>IF(E156="", "", IFERROR(VLOOKUP(IFERROR(VLOOKUP(SUBSTITUTE(E156,"DS ","")&amp;F156, wilayahfix!$A:$D, 2, 0), ""), user!$B:$D, 2, 0), "TIDAK KETEMU"))</f>
        <v/>
      </c>
      <c r="K156" s="39" t="str">
        <f>IF(E156="", "", IFERROR(VLOOKUP(IFERROR(VLOOKUP(SUBSTITUTE(E156,"DS ","")&amp;F156, wilayahfix!$A:$D, 2, 0), ""), user!$B:$D, 3, 0), ""))</f>
        <v/>
      </c>
    </row>
    <row r="157" spans="10:11" x14ac:dyDescent="0.25">
      <c r="J157" s="39"/>
      <c r="K157" s="39"/>
    </row>
    <row r="158" spans="10:11" x14ac:dyDescent="0.25">
      <c r="J158" s="39" t="str">
        <f>IF(E158="", "", IFERROR(VLOOKUP(IFERROR(VLOOKUP(SUBSTITUTE(E158,"DS ","")&amp;F158, wilayahfix!$A:$D, 2, 0), ""), user!$B:$D, 2, 0), "TIDAK KETEMU"))</f>
        <v/>
      </c>
      <c r="K158" s="39" t="str">
        <f>IF(E158="", "", IFERROR(VLOOKUP(IFERROR(VLOOKUP(SUBSTITUTE(E158,"DS ","")&amp;F158, wilayahfix!$A:$D, 2, 0), ""), user!$B:$D, 3, 0), ""))</f>
        <v/>
      </c>
    </row>
    <row r="159" spans="10:11" x14ac:dyDescent="0.25">
      <c r="J159" s="39"/>
      <c r="K159" s="39"/>
    </row>
    <row r="160" spans="10:11" x14ac:dyDescent="0.25">
      <c r="J160" s="39" t="str">
        <f>IF(E160="", "", IFERROR(VLOOKUP(IFERROR(VLOOKUP(SUBSTITUTE(E160,"DS ","")&amp;F160, wilayahfix!$A:$D, 2, 0), ""), user!$B:$D, 2, 0), "TIDAK KETEMU"))</f>
        <v/>
      </c>
      <c r="K160" s="39" t="str">
        <f>IF(E160="", "", IFERROR(VLOOKUP(IFERROR(VLOOKUP(SUBSTITUTE(E160,"DS ","")&amp;F160, wilayahfix!$A:$D, 2, 0), ""), user!$B:$D, 3, 0), ""))</f>
        <v/>
      </c>
    </row>
    <row r="161" spans="10:11" x14ac:dyDescent="0.25">
      <c r="J161" s="39"/>
      <c r="K161" s="39"/>
    </row>
    <row r="162" spans="10:11" x14ac:dyDescent="0.25">
      <c r="J162" s="39" t="str">
        <f>IF(E162="", "", IFERROR(VLOOKUP(IFERROR(VLOOKUP(SUBSTITUTE(E162,"DS ","")&amp;F162, wilayahfix!$A:$D, 2, 0), ""), user!$B:$D, 2, 0), "TIDAK KETEMU"))</f>
        <v/>
      </c>
      <c r="K162" s="39" t="str">
        <f>IF(E162="", "", IFERROR(VLOOKUP(IFERROR(VLOOKUP(SUBSTITUTE(E162,"DS ","")&amp;F162, wilayahfix!$A:$D, 2, 0), ""), user!$B:$D, 3, 0), ""))</f>
        <v/>
      </c>
    </row>
    <row r="163" spans="10:11" x14ac:dyDescent="0.25">
      <c r="J163" s="39"/>
      <c r="K163" s="39"/>
    </row>
    <row r="164" spans="10:11" x14ac:dyDescent="0.25">
      <c r="J164" s="39" t="str">
        <f>IF(E164="", "", IFERROR(VLOOKUP(IFERROR(VLOOKUP(SUBSTITUTE(E164,"DS ","")&amp;F164, wilayahfix!$A:$D, 2, 0), ""), user!$B:$D, 2, 0), "TIDAK KETEMU"))</f>
        <v/>
      </c>
      <c r="K164" s="39" t="str">
        <f>IF(E164="", "", IFERROR(VLOOKUP(IFERROR(VLOOKUP(SUBSTITUTE(E164,"DS ","")&amp;F164, wilayahfix!$A:$D, 2, 0), ""), user!$B:$D, 3, 0), ""))</f>
        <v/>
      </c>
    </row>
    <row r="165" spans="10:11" x14ac:dyDescent="0.25">
      <c r="J165" s="39"/>
      <c r="K165" s="39"/>
    </row>
    <row r="166" spans="10:11" x14ac:dyDescent="0.25">
      <c r="J166" s="39" t="str">
        <f>IF(E166="", "", IFERROR(VLOOKUP(IFERROR(VLOOKUP(SUBSTITUTE(E166,"DS ","")&amp;F166, wilayahfix!$A:$D, 2, 0), ""), user!$B:$D, 2, 0), "TIDAK KETEMU"))</f>
        <v/>
      </c>
      <c r="K166" s="39" t="str">
        <f>IF(E166="", "", IFERROR(VLOOKUP(IFERROR(VLOOKUP(SUBSTITUTE(E166,"DS ","")&amp;F166, wilayahfix!$A:$D, 2, 0), ""), user!$B:$D, 3, 0), ""))</f>
        <v/>
      </c>
    </row>
    <row r="167" spans="10:11" x14ac:dyDescent="0.25">
      <c r="J167" s="39"/>
      <c r="K167" s="39"/>
    </row>
    <row r="168" spans="10:11" x14ac:dyDescent="0.25">
      <c r="J168" s="39" t="str">
        <f>IF(E168="", "", IFERROR(VLOOKUP(IFERROR(VLOOKUP(SUBSTITUTE(E168,"DS ","")&amp;F168, wilayahfix!$A:$D, 2, 0), ""), user!$B:$D, 2, 0), "TIDAK KETEMU"))</f>
        <v/>
      </c>
      <c r="K168" s="39" t="str">
        <f>IF(E168="", "", IFERROR(VLOOKUP(IFERROR(VLOOKUP(SUBSTITUTE(E168,"DS ","")&amp;F168, wilayahfix!$A:$D, 2, 0), ""), user!$B:$D, 3, 0), ""))</f>
        <v/>
      </c>
    </row>
    <row r="169" spans="10:11" x14ac:dyDescent="0.25">
      <c r="J169" s="39"/>
      <c r="K169" s="39"/>
    </row>
    <row r="170" spans="10:11" x14ac:dyDescent="0.25">
      <c r="J170" s="39" t="str">
        <f>IF(E170="", "", IFERROR(VLOOKUP(IFERROR(VLOOKUP(SUBSTITUTE(E170,"DS ","")&amp;F170, wilayahfix!$A:$D, 2, 0), ""), user!$B:$D, 2, 0), "TIDAK KETEMU"))</f>
        <v/>
      </c>
      <c r="K170" s="39" t="str">
        <f>IF(E170="", "", IFERROR(VLOOKUP(IFERROR(VLOOKUP(SUBSTITUTE(E170,"DS ","")&amp;F170, wilayahfix!$A:$D, 2, 0), ""), user!$B:$D, 3, 0), ""))</f>
        <v/>
      </c>
    </row>
    <row r="171" spans="10:11" x14ac:dyDescent="0.25">
      <c r="J171" s="39"/>
      <c r="K171" s="39"/>
    </row>
    <row r="172" spans="10:11" x14ac:dyDescent="0.25">
      <c r="J172" s="39" t="str">
        <f>IF(E172="", "", IFERROR(VLOOKUP(IFERROR(VLOOKUP(SUBSTITUTE(E172,"DS ","")&amp;F172, wilayahfix!$A:$D, 2, 0), ""), user!$B:$D, 2, 0), "TIDAK KETEMU"))</f>
        <v/>
      </c>
      <c r="K172" s="39" t="str">
        <f>IF(E172="", "", IFERROR(VLOOKUP(IFERROR(VLOOKUP(SUBSTITUTE(E172,"DS ","")&amp;F172, wilayahfix!$A:$D, 2, 0), ""), user!$B:$D, 3, 0), ""))</f>
        <v/>
      </c>
    </row>
    <row r="173" spans="10:11" x14ac:dyDescent="0.25">
      <c r="J173" s="39"/>
      <c r="K173" s="39"/>
    </row>
    <row r="174" spans="10:11" x14ac:dyDescent="0.25">
      <c r="J174" s="39" t="str">
        <f>IF(E174="", "", IFERROR(VLOOKUP(IFERROR(VLOOKUP(SUBSTITUTE(E174,"DS ","")&amp;F174, wilayahfix!$A:$D, 2, 0), ""), user!$B:$D, 2, 0), "TIDAK KETEMU"))</f>
        <v/>
      </c>
      <c r="K174" s="39" t="str">
        <f>IF(E174="", "", IFERROR(VLOOKUP(IFERROR(VLOOKUP(SUBSTITUTE(E174,"DS ","")&amp;F174, wilayahfix!$A:$D, 2, 0), ""), user!$B:$D, 3, 0), ""))</f>
        <v/>
      </c>
    </row>
    <row r="175" spans="10:11" x14ac:dyDescent="0.25">
      <c r="J175" s="39"/>
      <c r="K175" s="39"/>
    </row>
    <row r="176" spans="10:11" x14ac:dyDescent="0.25">
      <c r="J176" s="39" t="str">
        <f>IF(E176="", "", IFERROR(VLOOKUP(IFERROR(VLOOKUP(SUBSTITUTE(E176,"DS ","")&amp;F176, wilayahfix!$A:$D, 2, 0), ""), user!$B:$D, 2, 0), "TIDAK KETEMU"))</f>
        <v/>
      </c>
      <c r="K176" s="39" t="str">
        <f>IF(E176="", "", IFERROR(VLOOKUP(IFERROR(VLOOKUP(SUBSTITUTE(E176,"DS ","")&amp;F176, wilayahfix!$A:$D, 2, 0), ""), user!$B:$D, 3, 0), ""))</f>
        <v/>
      </c>
    </row>
    <row r="177" spans="10:11" x14ac:dyDescent="0.25">
      <c r="J177" s="39"/>
      <c r="K177" s="39"/>
    </row>
    <row r="178" spans="10:11" x14ac:dyDescent="0.25">
      <c r="J178" s="39" t="str">
        <f>IF(E178="", "", IFERROR(VLOOKUP(IFERROR(VLOOKUP(SUBSTITUTE(E178,"DS ","")&amp;F178, wilayahfix!$A:$D, 2, 0), ""), user!$B:$D, 2, 0), "TIDAK KETEMU"))</f>
        <v/>
      </c>
      <c r="K178" s="39" t="str">
        <f>IF(E178="", "", IFERROR(VLOOKUP(IFERROR(VLOOKUP(SUBSTITUTE(E178,"DS ","")&amp;F178, wilayahfix!$A:$D, 2, 0), ""), user!$B:$D, 3, 0), ""))</f>
        <v/>
      </c>
    </row>
    <row r="179" spans="10:11" x14ac:dyDescent="0.25">
      <c r="J179" s="39"/>
      <c r="K179" s="39"/>
    </row>
    <row r="180" spans="10:11" x14ac:dyDescent="0.25">
      <c r="J180" s="39" t="str">
        <f>IF(E180="", "", IFERROR(VLOOKUP(IFERROR(VLOOKUP(SUBSTITUTE(E180,"DS ","")&amp;F180, wilayahfix!$A:$D, 2, 0), ""), user!$B:$D, 2, 0), "TIDAK KETEMU"))</f>
        <v/>
      </c>
      <c r="K180" s="39" t="str">
        <f>IF(E180="", "", IFERROR(VLOOKUP(IFERROR(VLOOKUP(SUBSTITUTE(E180,"DS ","")&amp;F180, wilayahfix!$A:$D, 2, 0), ""), user!$B:$D, 3, 0), ""))</f>
        <v/>
      </c>
    </row>
    <row r="181" spans="10:11" x14ac:dyDescent="0.25">
      <c r="J181" s="39"/>
      <c r="K181" s="39"/>
    </row>
    <row r="182" spans="10:11" x14ac:dyDescent="0.25">
      <c r="J182" s="39" t="str">
        <f>IF(E182="", "", IFERROR(VLOOKUP(IFERROR(VLOOKUP(SUBSTITUTE(E182,"DS ","")&amp;F182, wilayahfix!$A:$D, 2, 0), ""), user!$B:$D, 2, 0), "TIDAK KETEMU"))</f>
        <v/>
      </c>
      <c r="K182" s="39" t="str">
        <f>IF(E182="", "", IFERROR(VLOOKUP(IFERROR(VLOOKUP(SUBSTITUTE(E182,"DS ","")&amp;F182, wilayahfix!$A:$D, 2, 0), ""), user!$B:$D, 3, 0), ""))</f>
        <v/>
      </c>
    </row>
    <row r="183" spans="10:11" x14ac:dyDescent="0.25">
      <c r="J183" s="39"/>
      <c r="K183" s="39"/>
    </row>
    <row r="184" spans="10:11" x14ac:dyDescent="0.25">
      <c r="J184" s="39" t="str">
        <f>IF(E184="", "", IFERROR(VLOOKUP(IFERROR(VLOOKUP(SUBSTITUTE(E184,"DS ","")&amp;F184, wilayahfix!$A:$D, 2, 0), ""), user!$B:$D, 2, 0), "TIDAK KETEMU"))</f>
        <v/>
      </c>
      <c r="K184" s="39" t="str">
        <f>IF(E184="", "", IFERROR(VLOOKUP(IFERROR(VLOOKUP(SUBSTITUTE(E184,"DS ","")&amp;F184, wilayahfix!$A:$D, 2, 0), ""), user!$B:$D, 3, 0), ""))</f>
        <v/>
      </c>
    </row>
    <row r="185" spans="10:11" x14ac:dyDescent="0.25">
      <c r="J185" s="39"/>
      <c r="K185" s="39"/>
    </row>
    <row r="186" spans="10:11" x14ac:dyDescent="0.25">
      <c r="J186" s="39" t="str">
        <f>IF(E186="", "", IFERROR(VLOOKUP(IFERROR(VLOOKUP(SUBSTITUTE(E186,"DS ","")&amp;F186, wilayahfix!$A:$D, 2, 0), ""), user!$B:$D, 2, 0), "TIDAK KETEMU"))</f>
        <v/>
      </c>
      <c r="K186" s="39" t="str">
        <f>IF(E186="", "", IFERROR(VLOOKUP(IFERROR(VLOOKUP(SUBSTITUTE(E186,"DS ","")&amp;F186, wilayahfix!$A:$D, 2, 0), ""), user!$B:$D, 3, 0), ""))</f>
        <v/>
      </c>
    </row>
    <row r="187" spans="10:11" x14ac:dyDescent="0.25">
      <c r="J187" s="39"/>
      <c r="K187" s="39"/>
    </row>
    <row r="188" spans="10:11" x14ac:dyDescent="0.25">
      <c r="J188" s="39" t="str">
        <f>IF(E188="", "", IFERROR(VLOOKUP(IFERROR(VLOOKUP(SUBSTITUTE(E188,"DS ","")&amp;F188, wilayahfix!$A:$D, 2, 0), ""), user!$B:$D, 2, 0), "TIDAK KETEMU"))</f>
        <v/>
      </c>
      <c r="K188" s="39" t="str">
        <f>IF(E188="", "", IFERROR(VLOOKUP(IFERROR(VLOOKUP(SUBSTITUTE(E188,"DS ","")&amp;F188, wilayahfix!$A:$D, 2, 0), ""), user!$B:$D, 3, 0), ""))</f>
        <v/>
      </c>
    </row>
    <row r="189" spans="10:11" x14ac:dyDescent="0.25">
      <c r="J189" s="39"/>
      <c r="K189" s="39"/>
    </row>
    <row r="190" spans="10:11" x14ac:dyDescent="0.25">
      <c r="J190" s="39" t="str">
        <f>IF(E190="", "", IFERROR(VLOOKUP(IFERROR(VLOOKUP(SUBSTITUTE(E190,"DS ","")&amp;F190, wilayahfix!$A:$D, 2, 0), ""), user!$B:$D, 2, 0), "TIDAK KETEMU"))</f>
        <v/>
      </c>
      <c r="K190" s="39" t="str">
        <f>IF(E190="", "", IFERROR(VLOOKUP(IFERROR(VLOOKUP(SUBSTITUTE(E190,"DS ","")&amp;F190, wilayahfix!$A:$D, 2, 0), ""), user!$B:$D, 3, 0), ""))</f>
        <v/>
      </c>
    </row>
    <row r="191" spans="10:11" x14ac:dyDescent="0.25">
      <c r="J191" s="39"/>
      <c r="K191" s="39"/>
    </row>
    <row r="192" spans="10:11" x14ac:dyDescent="0.25">
      <c r="J192" s="39" t="str">
        <f>IF(E192="", "", IFERROR(VLOOKUP(IFERROR(VLOOKUP(SUBSTITUTE(E192,"DS ","")&amp;F192, wilayahfix!$A:$D, 2, 0), ""), user!$B:$D, 2, 0), "TIDAK KETEMU"))</f>
        <v/>
      </c>
      <c r="K192" s="39" t="str">
        <f>IF(E192="", "", IFERROR(VLOOKUP(IFERROR(VLOOKUP(SUBSTITUTE(E192,"DS ","")&amp;F192, wilayahfix!$A:$D, 2, 0), ""), user!$B:$D, 3, 0), ""))</f>
        <v/>
      </c>
    </row>
    <row r="193" spans="10:11" x14ac:dyDescent="0.25">
      <c r="J193" s="39"/>
      <c r="K193" s="39"/>
    </row>
    <row r="194" spans="10:11" x14ac:dyDescent="0.25">
      <c r="J194" s="39" t="str">
        <f>IF(E194="", "", IFERROR(VLOOKUP(IFERROR(VLOOKUP(SUBSTITUTE(E194,"DS ","")&amp;F194, wilayahfix!$A:$D, 2, 0), ""), user!$B:$D, 2, 0), "TIDAK KETEMU"))</f>
        <v/>
      </c>
      <c r="K194" s="39" t="str">
        <f>IF(E194="", "", IFERROR(VLOOKUP(IFERROR(VLOOKUP(SUBSTITUTE(E194,"DS ","")&amp;F194, wilayahfix!$A:$D, 2, 0), ""), user!$B:$D, 3, 0), ""))</f>
        <v/>
      </c>
    </row>
    <row r="195" spans="10:11" x14ac:dyDescent="0.25">
      <c r="J195" s="39"/>
      <c r="K195" s="39"/>
    </row>
    <row r="196" spans="10:11" x14ac:dyDescent="0.25">
      <c r="J196" s="39" t="str">
        <f>IF(E196="", "", IFERROR(VLOOKUP(IFERROR(VLOOKUP(SUBSTITUTE(E196,"DS ","")&amp;F196, wilayahfix!$A:$D, 2, 0), ""), user!$B:$D, 2, 0), "TIDAK KETEMU"))</f>
        <v/>
      </c>
      <c r="K196" s="39" t="str">
        <f>IF(E196="", "", IFERROR(VLOOKUP(IFERROR(VLOOKUP(SUBSTITUTE(E196,"DS ","")&amp;F196, wilayahfix!$A:$D, 2, 0), ""), user!$B:$D, 3, 0), ""))</f>
        <v/>
      </c>
    </row>
    <row r="197" spans="10:11" x14ac:dyDescent="0.25">
      <c r="J197" s="39"/>
      <c r="K197" s="39"/>
    </row>
    <row r="198" spans="10:11" x14ac:dyDescent="0.25">
      <c r="J198" s="39" t="str">
        <f>IF(E198="", "", IFERROR(VLOOKUP(IFERROR(VLOOKUP(SUBSTITUTE(E198,"DS ","")&amp;F198, wilayahfix!$A:$D, 2, 0), ""), user!$B:$D, 2, 0), "TIDAK KETEMU"))</f>
        <v/>
      </c>
      <c r="K198" s="39" t="str">
        <f>IF(E198="", "", IFERROR(VLOOKUP(IFERROR(VLOOKUP(SUBSTITUTE(E198,"DS ","")&amp;F198, wilayahfix!$A:$D, 2, 0), ""), user!$B:$D, 3, 0), ""))</f>
        <v/>
      </c>
    </row>
    <row r="199" spans="10:11" x14ac:dyDescent="0.25">
      <c r="J199" s="39"/>
      <c r="K199" s="39"/>
    </row>
    <row r="200" spans="10:11" x14ac:dyDescent="0.25">
      <c r="J200" s="39" t="str">
        <f>IF(E200="", "", IFERROR(VLOOKUP(IFERROR(VLOOKUP(SUBSTITUTE(E200,"DS ","")&amp;F200, wilayahfix!$A:$D, 2, 0), ""), user!$B:$D, 2, 0), "TIDAK KETEMU"))</f>
        <v/>
      </c>
      <c r="K200" s="39" t="str">
        <f>IF(E200="", "", IFERROR(VLOOKUP(IFERROR(VLOOKUP(SUBSTITUTE(E200,"DS ","")&amp;F200,#REF!, 2, 0), ""), user!$B:$D, 3, 0), ""))</f>
        <v/>
      </c>
    </row>
    <row r="201" spans="10:11" x14ac:dyDescent="0.25">
      <c r="J201" s="39"/>
      <c r="K201" s="39"/>
    </row>
    <row r="202" spans="10:11" x14ac:dyDescent="0.25">
      <c r="J202" s="39" t="str">
        <f>IF(E202="", "", IFERROR(VLOOKUP(IFERROR(VLOOKUP(SUBSTITUTE(E202,"DS ","")&amp;F202, wilayahfix!$A:$D, 2, 0), ""), user!$B:$D, 2, 0), "TIDAK KETEMU"))</f>
        <v/>
      </c>
      <c r="K202" s="39" t="str">
        <f>IF(E202="", "", IFERROR(VLOOKUP(IFERROR(VLOOKUP(SUBSTITUTE(E202,"DS ","")&amp;F202,#REF!, 2, 0), ""), user!$B:$D, 3, 0), ""))</f>
        <v/>
      </c>
    </row>
    <row r="203" spans="10:11" x14ac:dyDescent="0.25">
      <c r="J203" s="39"/>
      <c r="K203" s="39"/>
    </row>
    <row r="204" spans="10:11" x14ac:dyDescent="0.25">
      <c r="J204" s="39" t="str">
        <f>IF(E204="", "", IFERROR(VLOOKUP(IFERROR(VLOOKUP(SUBSTITUTE(E204,"DS ","")&amp;F204, wilayahfix!$A:$D, 2, 0), ""), user!$B:$D, 2, 0), "TIDAK KETEMU"))</f>
        <v/>
      </c>
      <c r="K204" s="39" t="str">
        <f>IF(E204="", "", IFERROR(VLOOKUP(IFERROR(VLOOKUP(SUBSTITUTE(E204,"DS ","")&amp;F204,#REF!, 2, 0), ""), user!$B:$D, 3, 0), ""))</f>
        <v/>
      </c>
    </row>
    <row r="205" spans="10:11" x14ac:dyDescent="0.25">
      <c r="J205" s="39"/>
      <c r="K205" s="39"/>
    </row>
    <row r="206" spans="10:11" x14ac:dyDescent="0.25">
      <c r="J206" s="39" t="str">
        <f>IF(E206="", "", IFERROR(VLOOKUP(IFERROR(VLOOKUP(SUBSTITUTE(E206,"DS ","")&amp;F206, wilayahfix!$A:$D, 2, 0), ""), user!$B:$D, 2, 0), "TIDAK KETEMU"))</f>
        <v/>
      </c>
      <c r="K206" s="39" t="str">
        <f>IF(E206="", "", IFERROR(VLOOKUP(IFERROR(VLOOKUP(SUBSTITUTE(E206,"DS ","")&amp;F206,#REF!, 2, 0), ""), user!$B:$D, 3, 0), ""))</f>
        <v/>
      </c>
    </row>
    <row r="207" spans="10:11" x14ac:dyDescent="0.25">
      <c r="J207" s="39"/>
      <c r="K207" s="39"/>
    </row>
    <row r="208" spans="10:11" x14ac:dyDescent="0.25">
      <c r="J208" s="39" t="str">
        <f>IF(E208="", "", IFERROR(VLOOKUP(IFERROR(VLOOKUP(SUBSTITUTE(E208,"DS ","")&amp;F208, wilayahfix!$A:$D, 2, 0), ""), user!$B:$D, 2, 0), "TIDAK KETEMU"))</f>
        <v/>
      </c>
      <c r="K208" s="39" t="str">
        <f>IF(E208="", "", IFERROR(VLOOKUP(IFERROR(VLOOKUP(SUBSTITUTE(E208,"DS ","")&amp;F208,#REF!, 2, 0), ""), user!$B:$D, 3, 0), ""))</f>
        <v/>
      </c>
    </row>
    <row r="209" spans="10:11" x14ac:dyDescent="0.25">
      <c r="J209" s="39"/>
      <c r="K209" s="39"/>
    </row>
    <row r="210" spans="10:11" x14ac:dyDescent="0.25">
      <c r="J210" s="39" t="str">
        <f>IF(E210="", "", IFERROR(VLOOKUP(IFERROR(VLOOKUP(SUBSTITUTE(E210,"DS ","")&amp;F210, wilayahfix!$A:$D, 2, 0), ""), user!$B:$D, 2, 0), "TIDAK KETEMU"))</f>
        <v/>
      </c>
      <c r="K210" s="39" t="str">
        <f>IF(E210="", "", IFERROR(VLOOKUP(IFERROR(VLOOKUP(SUBSTITUTE(E210,"DS ","")&amp;F210,#REF!, 2, 0), ""), user!$B:$D, 3, 0), ""))</f>
        <v/>
      </c>
    </row>
    <row r="211" spans="10:11" x14ac:dyDescent="0.25">
      <c r="J211" s="39"/>
      <c r="K211" s="39"/>
    </row>
    <row r="212" spans="10:11" x14ac:dyDescent="0.25">
      <c r="J212" s="39" t="str">
        <f>IF(E212="", "", IFERROR(VLOOKUP(IFERROR(VLOOKUP(SUBSTITUTE(E212,"DS ","")&amp;F212, wilayahfix!$A:$D, 2, 0), ""), user!$B:$D, 2, 0), "TIDAK KETEMU"))</f>
        <v/>
      </c>
      <c r="K212" s="39" t="str">
        <f>IF(E212="", "", IFERROR(VLOOKUP(IFERROR(VLOOKUP(SUBSTITUTE(E212,"DS ","")&amp;F212,#REF!, 2, 0), ""), user!$B:$D, 3, 0), ""))</f>
        <v/>
      </c>
    </row>
    <row r="213" spans="10:11" x14ac:dyDescent="0.25">
      <c r="J213" s="39"/>
      <c r="K213" s="39"/>
    </row>
    <row r="214" spans="10:11" x14ac:dyDescent="0.25">
      <c r="J214" s="39" t="str">
        <f>IF(E214="", "", IFERROR(VLOOKUP(IFERROR(VLOOKUP(SUBSTITUTE(E214,"DS ","")&amp;F214, wilayahfix!$A:$D, 2, 0), ""), user!$B:$D, 2, 0), "TIDAK KETEMU"))</f>
        <v/>
      </c>
      <c r="K214" s="39" t="str">
        <f>IF(E214="", "", IFERROR(VLOOKUP(IFERROR(VLOOKUP(SUBSTITUTE(E214,"DS ","")&amp;F214,#REF!, 2, 0), ""), user!$B:$D, 3, 0), ""))</f>
        <v/>
      </c>
    </row>
    <row r="215" spans="10:11" x14ac:dyDescent="0.25">
      <c r="J215" s="39"/>
      <c r="K215" s="39"/>
    </row>
    <row r="216" spans="10:11" x14ac:dyDescent="0.25">
      <c r="J216" s="39" t="str">
        <f>IF(E216="", "", IFERROR(VLOOKUP(IFERROR(VLOOKUP(SUBSTITUTE(E216,"DS ","")&amp;F216, wilayahfix!$A:$D, 2, 0), ""), user!$B:$D, 2, 0), "TIDAK KETEMU"))</f>
        <v/>
      </c>
      <c r="K216" s="39" t="str">
        <f>IF(E216="", "", IFERROR(VLOOKUP(IFERROR(VLOOKUP(SUBSTITUTE(E216,"DS ","")&amp;F216,#REF!, 2, 0), ""), user!$B:$D, 3, 0), ""))</f>
        <v/>
      </c>
    </row>
    <row r="217" spans="10:11" x14ac:dyDescent="0.25">
      <c r="J217" s="39"/>
      <c r="K217" s="39"/>
    </row>
    <row r="218" spans="10:11" x14ac:dyDescent="0.25">
      <c r="J218" s="39" t="str">
        <f>IF(E218="", "", IFERROR(VLOOKUP(IFERROR(VLOOKUP(SUBSTITUTE(E218,"DS ","")&amp;F218, wilayahfix!$A:$D, 2, 0), ""), user!$B:$D, 2, 0), "TIDAK KETEMU"))</f>
        <v/>
      </c>
      <c r="K218" s="39" t="str">
        <f>IF(E218="", "", IFERROR(VLOOKUP(IFERROR(VLOOKUP(SUBSTITUTE(E218,"DS ","")&amp;F218,#REF!, 2, 0), ""), user!$B:$D, 3, 0), ""))</f>
        <v/>
      </c>
    </row>
    <row r="219" spans="10:11" x14ac:dyDescent="0.25">
      <c r="J219" s="39"/>
      <c r="K219" s="39"/>
    </row>
    <row r="220" spans="10:11" x14ac:dyDescent="0.25">
      <c r="J220" s="39" t="str">
        <f>IF(E220="", "", IFERROR(VLOOKUP(IFERROR(VLOOKUP(SUBSTITUTE(E220,"DS ","")&amp;F220, wilayahfix!$A:$D, 2, 0), ""), user!$B:$D, 2, 0), "TIDAK KETEMU"))</f>
        <v/>
      </c>
      <c r="K220" s="39" t="str">
        <f>IF(E220="", "", IFERROR(VLOOKUP(IFERROR(VLOOKUP(SUBSTITUTE(E220,"DS ","")&amp;F220,#REF!, 2, 0), ""), user!$B:$D, 3, 0), ""))</f>
        <v/>
      </c>
    </row>
    <row r="221" spans="10:11" x14ac:dyDescent="0.25">
      <c r="J221" s="39"/>
      <c r="K221" s="39"/>
    </row>
    <row r="222" spans="10:11" x14ac:dyDescent="0.25">
      <c r="J222" s="39" t="str">
        <f>IF(E222="", "", IFERROR(VLOOKUP(IFERROR(VLOOKUP(SUBSTITUTE(E222,"DS ","")&amp;F222, wilayahfix!$A:$D, 2, 0), ""), user!$B:$D, 2, 0), "TIDAK KETEMU"))</f>
        <v/>
      </c>
      <c r="K222" s="39" t="str">
        <f>IF(E222="", "", IFERROR(VLOOKUP(IFERROR(VLOOKUP(SUBSTITUTE(E222,"DS ","")&amp;F222,#REF!, 2, 0), ""), user!$B:$D, 3, 0), ""))</f>
        <v/>
      </c>
    </row>
    <row r="223" spans="10:11" x14ac:dyDescent="0.25">
      <c r="J223" s="39"/>
      <c r="K223" s="39"/>
    </row>
    <row r="224" spans="10:11" x14ac:dyDescent="0.25">
      <c r="J224" s="39" t="str">
        <f>IF(E224="", "", IFERROR(VLOOKUP(IFERROR(VLOOKUP(SUBSTITUTE(E224,"DS ","")&amp;F224, wilayahfix!$A:$D, 2, 0), ""), user!$B:$D, 2, 0), "TIDAK KETEMU"))</f>
        <v/>
      </c>
      <c r="K224" s="39" t="str">
        <f>IF(E224="", "", IFERROR(VLOOKUP(IFERROR(VLOOKUP(SUBSTITUTE(E224,"DS ","")&amp;F224,#REF!, 2, 0), ""), user!$B:$D, 3, 0), ""))</f>
        <v/>
      </c>
    </row>
    <row r="225" spans="10:11" x14ac:dyDescent="0.25">
      <c r="J225" s="39"/>
      <c r="K225" s="39"/>
    </row>
    <row r="226" spans="10:11" x14ac:dyDescent="0.25">
      <c r="J226" s="39" t="str">
        <f>IF(E226="", "", IFERROR(VLOOKUP(IFERROR(VLOOKUP(SUBSTITUTE(E226,"DS ","")&amp;F226, wilayahfix!$A:$D, 2, 0), ""), user!$B:$D, 2, 0), "TIDAK KETEMU"))</f>
        <v/>
      </c>
      <c r="K226" s="39" t="str">
        <f>IF(E226="", "", IFERROR(VLOOKUP(IFERROR(VLOOKUP(SUBSTITUTE(E226,"DS ","")&amp;F226,#REF!, 2, 0), ""), user!$B:$D, 3, 0), ""))</f>
        <v/>
      </c>
    </row>
    <row r="227" spans="10:11" x14ac:dyDescent="0.25">
      <c r="J227" s="39"/>
      <c r="K227" s="39"/>
    </row>
    <row r="228" spans="10:11" x14ac:dyDescent="0.25">
      <c r="J228" s="39" t="str">
        <f>IF(E228="", "", IFERROR(VLOOKUP(IFERROR(VLOOKUP(SUBSTITUTE(E228,"DS ","")&amp;F228, wilayahfix!$A:$D, 2, 0), ""), user!$B:$D, 2, 0), "TIDAK KETEMU"))</f>
        <v/>
      </c>
      <c r="K228" s="39" t="str">
        <f>IF(E228="", "", IFERROR(VLOOKUP(IFERROR(VLOOKUP(SUBSTITUTE(E228,"DS ","")&amp;F228,#REF!, 2, 0), ""), user!$B:$D, 3, 0), ""))</f>
        <v/>
      </c>
    </row>
    <row r="229" spans="10:11" x14ac:dyDescent="0.25">
      <c r="J229" s="39"/>
      <c r="K229" s="39"/>
    </row>
    <row r="230" spans="10:11" x14ac:dyDescent="0.25">
      <c r="J230" s="39" t="str">
        <f>IF(E230="", "", IFERROR(VLOOKUP(IFERROR(VLOOKUP(SUBSTITUTE(E230,"DS ","")&amp;F230, wilayahfix!$A:$D, 2, 0), ""), user!$B:$D, 2, 0), "TIDAK KETEMU"))</f>
        <v/>
      </c>
      <c r="K230" s="39" t="str">
        <f>IF(E230="", "", IFERROR(VLOOKUP(IFERROR(VLOOKUP(SUBSTITUTE(E230,"DS ","")&amp;F230,#REF!, 2, 0), ""), user!$B:$D, 3, 0), ""))</f>
        <v/>
      </c>
    </row>
    <row r="231" spans="10:11" x14ac:dyDescent="0.25">
      <c r="J231" s="39"/>
      <c r="K231" s="39"/>
    </row>
    <row r="232" spans="10:11" x14ac:dyDescent="0.25">
      <c r="J232" s="39" t="str">
        <f>IF(E232="", "", IFERROR(VLOOKUP(IFERROR(VLOOKUP(SUBSTITUTE(E232,"DS ","")&amp;F232, wilayahfix!$A:$D, 2, 0), ""), user!$B:$D, 2, 0), "TIDAK KETEMU"))</f>
        <v/>
      </c>
      <c r="K232" s="39" t="str">
        <f>IF(E232="", "", IFERROR(VLOOKUP(IFERROR(VLOOKUP(SUBSTITUTE(E232,"DS ","")&amp;F232,#REF!, 2, 0), ""), user!$B:$D, 3, 0), ""))</f>
        <v/>
      </c>
    </row>
    <row r="233" spans="10:11" x14ac:dyDescent="0.25">
      <c r="J233" s="39"/>
      <c r="K233" s="39"/>
    </row>
    <row r="234" spans="10:11" x14ac:dyDescent="0.25">
      <c r="J234" s="39" t="str">
        <f>IF(E234="", "", IFERROR(VLOOKUP(IFERROR(VLOOKUP(SUBSTITUTE(E234,"DS ","")&amp;F234, wilayahfix!$A:$D, 2, 0), ""), user!$B:$D, 2, 0), "TIDAK KETEMU"))</f>
        <v/>
      </c>
      <c r="K234" s="39" t="str">
        <f>IF(E234="", "", IFERROR(VLOOKUP(IFERROR(VLOOKUP(SUBSTITUTE(E234,"DS ","")&amp;F234,#REF!, 2, 0), ""), user!$B:$D, 3, 0), ""))</f>
        <v/>
      </c>
    </row>
    <row r="235" spans="10:11" x14ac:dyDescent="0.25">
      <c r="J235" s="39"/>
      <c r="K235" s="39"/>
    </row>
    <row r="236" spans="10:11" x14ac:dyDescent="0.25">
      <c r="J236" s="39" t="str">
        <f>IF(E236="", "", IFERROR(VLOOKUP(IFERROR(VLOOKUP(SUBSTITUTE(E236,"DS ","")&amp;F236, wilayahfix!$A:$D, 2, 0), ""), user!$B:$D, 2, 0), "TIDAK KETEMU"))</f>
        <v/>
      </c>
      <c r="K236" s="39" t="str">
        <f>IF(E236="", "", IFERROR(VLOOKUP(IFERROR(VLOOKUP(SUBSTITUTE(E236,"DS ","")&amp;F236,#REF!, 2, 0), ""), user!$B:$D, 3, 0), ""))</f>
        <v/>
      </c>
    </row>
    <row r="237" spans="10:11" x14ac:dyDescent="0.25">
      <c r="J237" s="39"/>
      <c r="K237" s="39"/>
    </row>
    <row r="238" spans="10:11" x14ac:dyDescent="0.25">
      <c r="J238" s="39" t="str">
        <f>IF(E238="", "", IFERROR(VLOOKUP(IFERROR(VLOOKUP(SUBSTITUTE(E238,"DS ","")&amp;F238, wilayahfix!$A:$D, 2, 0), ""), user!$B:$D, 2, 0), "TIDAK KETEMU"))</f>
        <v/>
      </c>
      <c r="K238" s="39" t="str">
        <f>IF(E238="", "", IFERROR(VLOOKUP(IFERROR(VLOOKUP(SUBSTITUTE(E238,"DS ","")&amp;F238,#REF!, 2, 0), ""), user!$B:$D, 3, 0), ""))</f>
        <v/>
      </c>
    </row>
    <row r="239" spans="10:11" x14ac:dyDescent="0.25">
      <c r="J239" s="39"/>
      <c r="K239" s="39"/>
    </row>
    <row r="240" spans="10:11" x14ac:dyDescent="0.25">
      <c r="J240" s="39" t="str">
        <f>IF(E240="", "", IFERROR(VLOOKUP(IFERROR(VLOOKUP(SUBSTITUTE(E240,"DS ","")&amp;F240, wilayahfix!$A:$D, 2, 0), ""), user!$B:$D, 2, 0), "TIDAK KETEMU"))</f>
        <v/>
      </c>
      <c r="K240" s="39" t="str">
        <f>IF(E240="", "", IFERROR(VLOOKUP(IFERROR(VLOOKUP(SUBSTITUTE(E240,"DS ","")&amp;F240,#REF!, 2, 0), ""), user!$B:$D, 3, 0), ""))</f>
        <v/>
      </c>
    </row>
    <row r="241" spans="10:11" x14ac:dyDescent="0.25">
      <c r="J241" s="39"/>
      <c r="K241" s="39"/>
    </row>
    <row r="242" spans="10:11" x14ac:dyDescent="0.25">
      <c r="J242" s="39" t="str">
        <f>IF(E242="", "", IFERROR(VLOOKUP(IFERROR(VLOOKUP(SUBSTITUTE(E242,"DS ","")&amp;F242, wilayahfix!$A:$D, 2, 0), ""), user!$B:$D, 2, 0), "TIDAK KETEMU"))</f>
        <v/>
      </c>
      <c r="K242" s="39" t="str">
        <f>IF(E242="", "", IFERROR(VLOOKUP(IFERROR(VLOOKUP(SUBSTITUTE(E242,"DS ","")&amp;F242,#REF!, 2, 0), ""), user!$B:$D, 3, 0), ""))</f>
        <v/>
      </c>
    </row>
    <row r="243" spans="10:11" x14ac:dyDescent="0.25">
      <c r="J243" s="39"/>
      <c r="K243" s="39"/>
    </row>
    <row r="244" spans="10:11" x14ac:dyDescent="0.25">
      <c r="J244" s="39" t="str">
        <f>IF(E244="", "", IFERROR(VLOOKUP(IFERROR(VLOOKUP(SUBSTITUTE(E244,"DS ","")&amp;F244, wilayahfix!$A:$D, 2, 0), ""), user!$B:$D, 2, 0), "TIDAK KETEMU"))</f>
        <v/>
      </c>
      <c r="K244" s="39" t="str">
        <f>IF(E244="", "", IFERROR(VLOOKUP(IFERROR(VLOOKUP(SUBSTITUTE(E244,"DS ","")&amp;F244,#REF!, 2, 0), ""), user!$B:$D, 3, 0), ""))</f>
        <v/>
      </c>
    </row>
    <row r="245" spans="10:11" x14ac:dyDescent="0.25">
      <c r="J245" s="39"/>
      <c r="K245" s="39"/>
    </row>
    <row r="246" spans="10:11" x14ac:dyDescent="0.25">
      <c r="J246" s="39" t="str">
        <f>IF(E246="", "", IFERROR(VLOOKUP(IFERROR(VLOOKUP(SUBSTITUTE(E246,"DS ","")&amp;F246, wilayahfix!$A:$D, 2, 0), ""), user!$B:$D, 2, 0), "TIDAK KETEMU"))</f>
        <v/>
      </c>
      <c r="K246" s="39" t="str">
        <f>IF(E246="", "", IFERROR(VLOOKUP(IFERROR(VLOOKUP(SUBSTITUTE(E246,"DS ","")&amp;F246,#REF!, 2, 0), ""), user!$B:$D, 3, 0), ""))</f>
        <v/>
      </c>
    </row>
    <row r="247" spans="10:11" x14ac:dyDescent="0.25">
      <c r="J247" s="39"/>
      <c r="K247" s="39"/>
    </row>
    <row r="248" spans="10:11" x14ac:dyDescent="0.25">
      <c r="J248" s="39" t="str">
        <f>IF(E248="", "", IFERROR(VLOOKUP(IFERROR(VLOOKUP(SUBSTITUTE(E248,"DS ","")&amp;F248, wilayahfix!$A:$D, 2, 0), ""), user!$B:$D, 2, 0), "TIDAK KETEMU"))</f>
        <v/>
      </c>
      <c r="K248" s="39" t="str">
        <f>IF(E248="", "", IFERROR(VLOOKUP(IFERROR(VLOOKUP(SUBSTITUTE(E248,"DS ","")&amp;F248,#REF!, 2, 0), ""), user!$B:$D, 3, 0), ""))</f>
        <v/>
      </c>
    </row>
    <row r="249" spans="10:11" x14ac:dyDescent="0.25">
      <c r="J249" s="39"/>
      <c r="K249" s="39"/>
    </row>
    <row r="250" spans="10:11" x14ac:dyDescent="0.25">
      <c r="J250" s="39" t="str">
        <f>IF(E250="", "", IFERROR(VLOOKUP(IFERROR(VLOOKUP(SUBSTITUTE(E250,"DS ","")&amp;F250, wilayahfix!$A:$D, 2, 0), ""), user!$B:$D, 2, 0), "TIDAK KETEMU"))</f>
        <v/>
      </c>
      <c r="K250" s="39" t="str">
        <f>IF(E250="", "", IFERROR(VLOOKUP(IFERROR(VLOOKUP(SUBSTITUTE(E250,"DS ","")&amp;F250,#REF!, 2, 0), ""), user!$B:$D, 3, 0), ""))</f>
        <v/>
      </c>
    </row>
    <row r="251" spans="10:11" x14ac:dyDescent="0.25">
      <c r="J251" s="39"/>
      <c r="K251" s="39"/>
    </row>
    <row r="252" spans="10:11" x14ac:dyDescent="0.25">
      <c r="J252" s="39" t="str">
        <f>IF(E252="", "", IFERROR(VLOOKUP(IFERROR(VLOOKUP(SUBSTITUTE(E252,"DS ","")&amp;F252, wilayahfix!$A:$D, 2, 0), ""), user!$B:$D, 2, 0), "TIDAK KETEMU"))</f>
        <v/>
      </c>
      <c r="K252" s="39" t="str">
        <f>IF(E252="", "", IFERROR(VLOOKUP(IFERROR(VLOOKUP(SUBSTITUTE(E252,"DS ","")&amp;F252,#REF!, 2, 0), ""), user!$B:$D, 3, 0), ""))</f>
        <v/>
      </c>
    </row>
    <row r="253" spans="10:11" x14ac:dyDescent="0.25">
      <c r="J253" s="39"/>
      <c r="K253" s="39"/>
    </row>
    <row r="254" spans="10:11" x14ac:dyDescent="0.25">
      <c r="J254" s="39" t="str">
        <f>IF(E254="", "", IFERROR(VLOOKUP(IFERROR(VLOOKUP(SUBSTITUTE(E254,"DS ","")&amp;F254, wilayahfix!$A:$D, 2, 0), ""), user!$B:$D, 2, 0), "TIDAK KETEMU"))</f>
        <v/>
      </c>
      <c r="K254" s="39" t="str">
        <f>IF(E254="", "", IFERROR(VLOOKUP(IFERROR(VLOOKUP(SUBSTITUTE(E254,"DS ","")&amp;F254,#REF!, 2, 0), ""), user!$B:$D, 3, 0), ""))</f>
        <v/>
      </c>
    </row>
    <row r="255" spans="10:11" x14ac:dyDescent="0.25">
      <c r="J255" s="39"/>
      <c r="K255" s="39"/>
    </row>
    <row r="256" spans="10:11" x14ac:dyDescent="0.25">
      <c r="J256" s="39" t="str">
        <f>IF(E256="", "", IFERROR(VLOOKUP(IFERROR(VLOOKUP(SUBSTITUTE(E256,"DS ","")&amp;F256, wilayahfix!$A:$D, 2, 0), ""), user!$B:$D, 2, 0), "TIDAK KETEMU"))</f>
        <v/>
      </c>
      <c r="K256" s="39" t="str">
        <f>IF(E256="", "", IFERROR(VLOOKUP(IFERROR(VLOOKUP(SUBSTITUTE(E256,"DS ","")&amp;F256,#REF!, 2, 0), ""), user!$B:$D, 3, 0), ""))</f>
        <v/>
      </c>
    </row>
    <row r="257" spans="10:11" x14ac:dyDescent="0.25">
      <c r="J257" s="39"/>
      <c r="K257" s="39"/>
    </row>
    <row r="258" spans="10:11" x14ac:dyDescent="0.25">
      <c r="J258" s="39" t="str">
        <f>IF(E258="", "", IFERROR(VLOOKUP(IFERROR(VLOOKUP(SUBSTITUTE(E258,"DS ","")&amp;F258, wilayahfix!$A:$D, 2, 0), ""), user!$B:$D, 2, 0), "TIDAK KETEMU"))</f>
        <v/>
      </c>
      <c r="K258" s="39" t="str">
        <f>IF(E258="", "", IFERROR(VLOOKUP(IFERROR(VLOOKUP(SUBSTITUTE(E258,"DS ","")&amp;F258,#REF!, 2, 0), ""), user!$B:$D, 3, 0), ""))</f>
        <v/>
      </c>
    </row>
    <row r="259" spans="10:11" x14ac:dyDescent="0.25">
      <c r="J259" s="39"/>
      <c r="K259" s="39"/>
    </row>
    <row r="260" spans="10:11" x14ac:dyDescent="0.25">
      <c r="J260" s="39" t="str">
        <f>IF(E260="", "", IFERROR(VLOOKUP(IFERROR(VLOOKUP(SUBSTITUTE(E260,"DS ","")&amp;F260, wilayahfix!$A:$D, 2, 0), ""), user!$B:$D, 2, 0), "TIDAK KETEMU"))</f>
        <v/>
      </c>
      <c r="K260" s="39" t="str">
        <f>IF(E260="", "", IFERROR(VLOOKUP(IFERROR(VLOOKUP(SUBSTITUTE(E260,"DS ","")&amp;F260,#REF!, 2, 0), ""), user!$B:$D, 3, 0), ""))</f>
        <v/>
      </c>
    </row>
    <row r="261" spans="10:11" x14ac:dyDescent="0.25">
      <c r="J261" s="39"/>
      <c r="K261" s="39"/>
    </row>
    <row r="262" spans="10:11" x14ac:dyDescent="0.25">
      <c r="J262" s="39" t="str">
        <f>IF(E262="", "", IFERROR(VLOOKUP(IFERROR(VLOOKUP(SUBSTITUTE(E262,"DS ","")&amp;F262, wilayahfix!$A:$D, 2, 0), ""), user!$B:$D, 2, 0), "TIDAK KETEMU"))</f>
        <v/>
      </c>
      <c r="K262" s="39" t="str">
        <f>IF(E262="", "", IFERROR(VLOOKUP(IFERROR(VLOOKUP(SUBSTITUTE(E262,"DS ","")&amp;F262,#REF!, 2, 0), ""), user!$B:$D, 3, 0), ""))</f>
        <v/>
      </c>
    </row>
    <row r="263" spans="10:11" x14ac:dyDescent="0.25">
      <c r="J263" s="39"/>
      <c r="K263" s="39"/>
    </row>
    <row r="264" spans="10:11" x14ac:dyDescent="0.25">
      <c r="J264" s="39" t="str">
        <f>IF(E264="", "", IFERROR(VLOOKUP(IFERROR(VLOOKUP(SUBSTITUTE(E264,"DS ","")&amp;F264, wilayahfix!$A:$D, 2, 0), ""), user!$B:$D, 2, 0), "TIDAK KETEMU"))</f>
        <v/>
      </c>
      <c r="K264" s="39" t="str">
        <f>IF(E264="", "", IFERROR(VLOOKUP(IFERROR(VLOOKUP(SUBSTITUTE(E264,"DS ","")&amp;F264,#REF!, 2, 0), ""), user!$B:$D, 3, 0), ""))</f>
        <v/>
      </c>
    </row>
    <row r="265" spans="10:11" x14ac:dyDescent="0.25">
      <c r="J265" s="39"/>
      <c r="K265" s="39"/>
    </row>
    <row r="266" spans="10:11" x14ac:dyDescent="0.25">
      <c r="J266" s="39" t="str">
        <f>IF(E266="", "", IFERROR(VLOOKUP(IFERROR(VLOOKUP(SUBSTITUTE(E266,"DS ","")&amp;F266, wilayahfix!$A:$D, 2, 0), ""), user!$B:$D, 2, 0), "TIDAK KETEMU"))</f>
        <v/>
      </c>
      <c r="K266" s="39" t="str">
        <f>IF(E266="", "", IFERROR(VLOOKUP(IFERROR(VLOOKUP(SUBSTITUTE(E266,"DS ","")&amp;F266,#REF!, 2, 0), ""), user!$B:$D, 3, 0), ""))</f>
        <v/>
      </c>
    </row>
    <row r="267" spans="10:11" x14ac:dyDescent="0.25">
      <c r="J267" s="39"/>
      <c r="K267" s="39"/>
    </row>
    <row r="268" spans="10:11" x14ac:dyDescent="0.25">
      <c r="J268" s="39" t="str">
        <f>IF(E268="", "", IFERROR(VLOOKUP(IFERROR(VLOOKUP(SUBSTITUTE(E268,"DS ","")&amp;F268, wilayahfix!$A:$D, 2, 0), ""), user!$B:$D, 2, 0), "TIDAK KETEMU"))</f>
        <v/>
      </c>
      <c r="K268" s="39" t="str">
        <f>IF(E268="", "", IFERROR(VLOOKUP(IFERROR(VLOOKUP(SUBSTITUTE(E268,"DS ","")&amp;F268,#REF!, 2, 0), ""), user!$B:$D, 3, 0), ""))</f>
        <v/>
      </c>
    </row>
    <row r="269" spans="10:11" x14ac:dyDescent="0.25">
      <c r="J269" s="39"/>
      <c r="K269" s="39"/>
    </row>
    <row r="270" spans="10:11" x14ac:dyDescent="0.25">
      <c r="J270" s="39" t="str">
        <f>IF(E270="", "", IFERROR(VLOOKUP(IFERROR(VLOOKUP(SUBSTITUTE(E270,"DS ","")&amp;F270, wilayahfix!$A:$D, 2, 0), ""), user!$B:$D, 2, 0), "TIDAK KETEMU"))</f>
        <v/>
      </c>
      <c r="K270" s="39" t="str">
        <f>IF(E270="", "", IFERROR(VLOOKUP(IFERROR(VLOOKUP(SUBSTITUTE(E270,"DS ","")&amp;F270,#REF!, 2, 0), ""), user!$B:$D, 3, 0), ""))</f>
        <v/>
      </c>
    </row>
    <row r="271" spans="10:11" x14ac:dyDescent="0.25">
      <c r="J271" s="39"/>
      <c r="K271" s="39"/>
    </row>
    <row r="272" spans="10:11" x14ac:dyDescent="0.25">
      <c r="J272" s="39" t="str">
        <f>IF(E272="", "", IFERROR(VLOOKUP(IFERROR(VLOOKUP(SUBSTITUTE(E272,"DS ","")&amp;F272, wilayahfix!$A:$D, 2, 0), ""), user!$B:$D, 2, 0), "TIDAK KETEMU"))</f>
        <v/>
      </c>
      <c r="K272" s="39" t="str">
        <f>IF(E272="", "", IFERROR(VLOOKUP(IFERROR(VLOOKUP(SUBSTITUTE(E272,"DS ","")&amp;F272,#REF!, 2, 0), ""), user!$B:$D, 3, 0), ""))</f>
        <v/>
      </c>
    </row>
    <row r="273" spans="10:11" x14ac:dyDescent="0.25">
      <c r="J273" s="39"/>
      <c r="K273" s="39"/>
    </row>
    <row r="274" spans="10:11" x14ac:dyDescent="0.25">
      <c r="J274" s="39" t="str">
        <f>IF(E274="", "", IFERROR(VLOOKUP(IFERROR(VLOOKUP(SUBSTITUTE(E274,"DS ","")&amp;F274, wilayahfix!$A:$D, 2, 0), ""), user!$B:$D, 2, 0), "TIDAK KETEMU"))</f>
        <v/>
      </c>
      <c r="K274" s="39" t="str">
        <f>IF(E274="", "", IFERROR(VLOOKUP(IFERROR(VLOOKUP(SUBSTITUTE(E274,"DS ","")&amp;F274,#REF!, 2, 0), ""), user!$B:$D, 3, 0), ""))</f>
        <v/>
      </c>
    </row>
    <row r="275" spans="10:11" x14ac:dyDescent="0.25">
      <c r="J275" s="39"/>
      <c r="K275" s="39"/>
    </row>
    <row r="276" spans="10:11" x14ac:dyDescent="0.25">
      <c r="J276" s="39" t="str">
        <f>IF(E276="", "", IFERROR(VLOOKUP(IFERROR(VLOOKUP(SUBSTITUTE(E276,"DS ","")&amp;F276, wilayahfix!$A:$D, 2, 0), ""), user!$B:$D, 2, 0), "TIDAK KETEMU"))</f>
        <v/>
      </c>
      <c r="K276" s="39" t="str">
        <f>IF(E276="", "", IFERROR(VLOOKUP(IFERROR(VLOOKUP(SUBSTITUTE(E276,"DS ","")&amp;F276,#REF!, 2, 0), ""), user!$B:$D, 3, 0), ""))</f>
        <v/>
      </c>
    </row>
    <row r="277" spans="10:11" x14ac:dyDescent="0.25">
      <c r="J277" s="39"/>
      <c r="K277" s="39"/>
    </row>
    <row r="278" spans="10:11" x14ac:dyDescent="0.25">
      <c r="J278" s="39" t="str">
        <f>IF(E278="", "", IFERROR(VLOOKUP(IFERROR(VLOOKUP(SUBSTITUTE(E278,"DS ","")&amp;F278, wilayahfix!$A:$D, 2, 0), ""), user!$B:$D, 2, 0), "TIDAK KETEMU"))</f>
        <v/>
      </c>
      <c r="K278" s="39" t="str">
        <f>IF(E278="", "", IFERROR(VLOOKUP(IFERROR(VLOOKUP(SUBSTITUTE(E278,"DS ","")&amp;F278,#REF!, 2, 0), ""), user!$B:$D, 3, 0), ""))</f>
        <v/>
      </c>
    </row>
    <row r="279" spans="10:11" x14ac:dyDescent="0.25">
      <c r="J279" s="39"/>
      <c r="K279" s="39"/>
    </row>
    <row r="280" spans="10:11" x14ac:dyDescent="0.25">
      <c r="J280" s="39" t="str">
        <f>IF(E280="", "", IFERROR(VLOOKUP(IFERROR(VLOOKUP(SUBSTITUTE(E280,"DS ","")&amp;F280, wilayahfix!$A:$D, 2, 0), ""), user!$B:$D, 2, 0), "TIDAK KETEMU"))</f>
        <v/>
      </c>
      <c r="K280" s="39" t="str">
        <f>IF(E280="", "", IFERROR(VLOOKUP(IFERROR(VLOOKUP(SUBSTITUTE(E280,"DS ","")&amp;F280,#REF!, 2, 0), ""), user!$B:$D, 3, 0), ""))</f>
        <v/>
      </c>
    </row>
    <row r="281" spans="10:11" x14ac:dyDescent="0.25">
      <c r="J281" s="39"/>
      <c r="K281" s="39"/>
    </row>
    <row r="282" spans="10:11" x14ac:dyDescent="0.25">
      <c r="J282" s="39" t="str">
        <f>IF(E282="", "", IFERROR(VLOOKUP(IFERROR(VLOOKUP(SUBSTITUTE(E282,"DS ","")&amp;F282, wilayahfix!$A:$D, 2, 0), ""), user!$B:$D, 2, 0), "TIDAK KETEMU"))</f>
        <v/>
      </c>
      <c r="K282" s="39" t="str">
        <f>IF(E282="", "", IFERROR(VLOOKUP(IFERROR(VLOOKUP(SUBSTITUTE(E282,"DS ","")&amp;F282,#REF!, 2, 0), ""), user!$B:$D, 3, 0), ""))</f>
        <v/>
      </c>
    </row>
    <row r="283" spans="10:11" x14ac:dyDescent="0.25">
      <c r="J283" s="39"/>
      <c r="K283" s="39"/>
    </row>
    <row r="284" spans="10:11" x14ac:dyDescent="0.25">
      <c r="J284" s="39" t="str">
        <f>IF(E284="", "", IFERROR(VLOOKUP(IFERROR(VLOOKUP(SUBSTITUTE(E284,"DS ","")&amp;F284, wilayahfix!$A:$D, 2, 0), ""), user!$B:$D, 2, 0), "TIDAK KETEMU"))</f>
        <v/>
      </c>
      <c r="K284" s="39" t="str">
        <f>IF(E284="", "", IFERROR(VLOOKUP(IFERROR(VLOOKUP(SUBSTITUTE(E284,"DS ","")&amp;F284,#REF!, 2, 0), ""), user!$B:$D, 3, 0), ""))</f>
        <v/>
      </c>
    </row>
    <row r="285" spans="10:11" x14ac:dyDescent="0.25">
      <c r="J285" s="39"/>
      <c r="K285" s="39"/>
    </row>
    <row r="286" spans="10:11" x14ac:dyDescent="0.25">
      <c r="J286" s="39" t="str">
        <f>IF(E286="", "", IFERROR(VLOOKUP(IFERROR(VLOOKUP(SUBSTITUTE(E286,"DS ","")&amp;F286, wilayahfix!$A:$D, 2, 0), ""), user!$B:$D, 2, 0), "TIDAK KETEMU"))</f>
        <v/>
      </c>
      <c r="K286" s="39" t="str">
        <f>IF(E286="", "", IFERROR(VLOOKUP(IFERROR(VLOOKUP(SUBSTITUTE(E286,"DS ","")&amp;F286,#REF!, 2, 0), ""), user!$B:$D, 3, 0), ""))</f>
        <v/>
      </c>
    </row>
    <row r="287" spans="10:11" x14ac:dyDescent="0.25">
      <c r="J287" s="39"/>
      <c r="K287" s="39"/>
    </row>
    <row r="288" spans="10:11" x14ac:dyDescent="0.25">
      <c r="J288" s="39" t="str">
        <f>IF(E288="", "", IFERROR(VLOOKUP(IFERROR(VLOOKUP(SUBSTITUTE(E288,"DS ","")&amp;F288, wilayahfix!$A:$D, 2, 0), ""), user!$B:$D, 2, 0), "TIDAK KETEMU"))</f>
        <v/>
      </c>
      <c r="K288" s="39" t="str">
        <f>IF(E288="", "", IFERROR(VLOOKUP(IFERROR(VLOOKUP(SUBSTITUTE(E288,"DS ","")&amp;F288,#REF!, 2, 0), ""), user!$B:$D, 3, 0), ""))</f>
        <v/>
      </c>
    </row>
    <row r="289" spans="10:11" x14ac:dyDescent="0.25">
      <c r="J289" s="39"/>
      <c r="K289" s="39"/>
    </row>
    <row r="290" spans="10:11" x14ac:dyDescent="0.25">
      <c r="J290" s="39" t="str">
        <f>IF(E290="", "", IFERROR(VLOOKUP(IFERROR(VLOOKUP(SUBSTITUTE(E290,"DS ","")&amp;F290, wilayahfix!$A:$D, 2, 0), ""), user!$B:$D, 2, 0), "TIDAK KETEMU"))</f>
        <v/>
      </c>
      <c r="K290" s="39" t="str">
        <f>IF(E290="", "", IFERROR(VLOOKUP(IFERROR(VLOOKUP(SUBSTITUTE(E290,"DS ","")&amp;F290,#REF!, 2, 0), ""), user!$B:$D, 3, 0), ""))</f>
        <v/>
      </c>
    </row>
    <row r="291" spans="10:11" x14ac:dyDescent="0.25">
      <c r="J291" s="39"/>
      <c r="K291" s="39"/>
    </row>
    <row r="292" spans="10:11" x14ac:dyDescent="0.25">
      <c r="J292" s="39" t="str">
        <f>IF(E292="", "", IFERROR(VLOOKUP(IFERROR(VLOOKUP(SUBSTITUTE(E292,"DS ","")&amp;F292, wilayahfix!$A:$D, 2, 0), ""), user!$B:$D, 2, 0), "TIDAK KETEMU"))</f>
        <v/>
      </c>
      <c r="K292" s="39" t="str">
        <f>IF(E292="", "", IFERROR(VLOOKUP(IFERROR(VLOOKUP(SUBSTITUTE(E292,"DS ","")&amp;F292,#REF!, 2, 0), ""), user!$B:$D, 3, 0), ""))</f>
        <v/>
      </c>
    </row>
    <row r="293" spans="10:11" x14ac:dyDescent="0.25">
      <c r="J293" s="39"/>
      <c r="K293" s="39"/>
    </row>
    <row r="294" spans="10:11" x14ac:dyDescent="0.25">
      <c r="J294" s="39" t="str">
        <f>IF(E294="", "", IFERROR(VLOOKUP(IFERROR(VLOOKUP(SUBSTITUTE(E294,"DS ","")&amp;F294, wilayahfix!$A:$D, 2, 0), ""), user!$B:$D, 2, 0), "TIDAK KETEMU"))</f>
        <v/>
      </c>
      <c r="K294" s="39" t="str">
        <f>IF(E294="", "", IFERROR(VLOOKUP(IFERROR(VLOOKUP(SUBSTITUTE(E294,"DS ","")&amp;F294,#REF!, 2, 0), ""), user!$B:$D, 3, 0), ""))</f>
        <v/>
      </c>
    </row>
    <row r="295" spans="10:11" x14ac:dyDescent="0.25">
      <c r="J295" s="39"/>
      <c r="K295" s="39"/>
    </row>
    <row r="296" spans="10:11" x14ac:dyDescent="0.25">
      <c r="J296" s="39" t="str">
        <f>IF(E296="", "", IFERROR(VLOOKUP(IFERROR(VLOOKUP(SUBSTITUTE(E296,"DS ","")&amp;F296, wilayahfix!$A:$D, 2, 0), ""), user!$B:$D, 2, 0), "TIDAK KETEMU"))</f>
        <v/>
      </c>
      <c r="K296" s="39" t="str">
        <f>IF(E296="", "", IFERROR(VLOOKUP(IFERROR(VLOOKUP(SUBSTITUTE(E296,"DS ","")&amp;F296,#REF!, 2, 0), ""), user!$B:$D, 3, 0), ""))</f>
        <v/>
      </c>
    </row>
    <row r="297" spans="10:11" x14ac:dyDescent="0.25">
      <c r="J297" s="39"/>
      <c r="K297" s="39"/>
    </row>
    <row r="298" spans="10:11" x14ac:dyDescent="0.25">
      <c r="J298" s="39" t="str">
        <f>IF(E298="", "", IFERROR(VLOOKUP(IFERROR(VLOOKUP(SUBSTITUTE(E298,"DS ","")&amp;F298, wilayahfix!$A:$D, 2, 0), ""), user!$B:$D, 2, 0), "TIDAK KETEMU"))</f>
        <v/>
      </c>
      <c r="K298" s="39" t="str">
        <f>IF(E298="", "", IFERROR(VLOOKUP(IFERROR(VLOOKUP(SUBSTITUTE(E298,"DS ","")&amp;F298,#REF!, 2, 0), ""), user!$B:$D, 3, 0), ""))</f>
        <v/>
      </c>
    </row>
    <row r="299" spans="10:11" x14ac:dyDescent="0.25">
      <c r="J299" s="39"/>
      <c r="K299" s="39"/>
    </row>
    <row r="300" spans="10:11" x14ac:dyDescent="0.25">
      <c r="J300" s="39" t="str">
        <f>IF(E300="", "", IFERROR(VLOOKUP(IFERROR(VLOOKUP(SUBSTITUTE(E300,"DS ","")&amp;F300, wilayahfix!$A:$D, 2, 0), ""), user!$B:$D, 2, 0), "TIDAK KETEMU"))</f>
        <v/>
      </c>
      <c r="K300" s="39" t="str">
        <f>IF(E300="", "", IFERROR(VLOOKUP(IFERROR(VLOOKUP(SUBSTITUTE(E300,"DS ","")&amp;F300,#REF!, 2, 0), ""), user!$B:$D, 3, 0), ""))</f>
        <v/>
      </c>
    </row>
    <row r="301" spans="10:11" x14ac:dyDescent="0.25">
      <c r="J301" s="39"/>
      <c r="K301" s="39"/>
    </row>
    <row r="302" spans="10:11" x14ac:dyDescent="0.25">
      <c r="J302" s="39" t="str">
        <f>IF(E302="", "", IFERROR(VLOOKUP(IFERROR(VLOOKUP(SUBSTITUTE(E302,"DS ","")&amp;F302, wilayahfix!$A:$D, 2, 0), ""), user!$B:$D, 2, 0), "TIDAK KETEMU"))</f>
        <v/>
      </c>
      <c r="K302" s="39" t="str">
        <f>IF(E302="", "", IFERROR(VLOOKUP(IFERROR(VLOOKUP(SUBSTITUTE(E302,"DS ","")&amp;F302,#REF!, 2, 0), ""), user!$B:$D, 3, 0), ""))</f>
        <v/>
      </c>
    </row>
    <row r="303" spans="10:11" x14ac:dyDescent="0.25">
      <c r="J303" s="39"/>
      <c r="K303" s="39"/>
    </row>
    <row r="304" spans="10:11" x14ac:dyDescent="0.25">
      <c r="J304" s="39" t="str">
        <f>IF(E304="", "", IFERROR(VLOOKUP(IFERROR(VLOOKUP(SUBSTITUTE(E304,"DS ","")&amp;F304, wilayahfix!$A:$D, 2, 0), ""), user!$B:$D, 2, 0), "TIDAK KETEMU"))</f>
        <v/>
      </c>
      <c r="K304" s="39" t="str">
        <f>IF(E304="", "", IFERROR(VLOOKUP(IFERROR(VLOOKUP(SUBSTITUTE(E304,"DS ","")&amp;F304,#REF!, 2, 0), ""), user!$B:$D, 3, 0), ""))</f>
        <v/>
      </c>
    </row>
    <row r="305" spans="10:11" x14ac:dyDescent="0.25">
      <c r="J305" s="39"/>
      <c r="K305" s="39"/>
    </row>
    <row r="306" spans="10:11" x14ac:dyDescent="0.25">
      <c r="J306" s="39" t="str">
        <f>IF(E306="", "", IFERROR(VLOOKUP(IFERROR(VLOOKUP(SUBSTITUTE(E306,"DS ","")&amp;F306, wilayahfix!$A:$D, 2, 0), ""), user!$B:$D, 2, 0), "TIDAK KETEMU"))</f>
        <v/>
      </c>
      <c r="K306" s="39" t="str">
        <f>IF(E306="", "", IFERROR(VLOOKUP(IFERROR(VLOOKUP(SUBSTITUTE(E306,"DS ","")&amp;F306,#REF!, 2, 0), ""), user!$B:$D, 3, 0), ""))</f>
        <v/>
      </c>
    </row>
    <row r="307" spans="10:11" x14ac:dyDescent="0.25">
      <c r="J307" s="39"/>
      <c r="K307" s="39"/>
    </row>
    <row r="308" spans="10:11" x14ac:dyDescent="0.25">
      <c r="J308" s="39" t="str">
        <f>IF(E308="", "", IFERROR(VLOOKUP(IFERROR(VLOOKUP(SUBSTITUTE(E308,"DS ","")&amp;F308, wilayahfix!$A:$D, 2, 0), ""), user!$B:$D, 2, 0), "TIDAK KETEMU"))</f>
        <v/>
      </c>
      <c r="K308" s="39" t="str">
        <f>IF(E308="", "", IFERROR(VLOOKUP(IFERROR(VLOOKUP(SUBSTITUTE(E308,"DS ","")&amp;F308,#REF!, 2, 0), ""), user!$B:$D, 3, 0), ""))</f>
        <v/>
      </c>
    </row>
    <row r="309" spans="10:11" x14ac:dyDescent="0.25">
      <c r="J309" s="39"/>
      <c r="K309" s="39"/>
    </row>
    <row r="310" spans="10:11" x14ac:dyDescent="0.25">
      <c r="J310" s="39" t="str">
        <f>IF(E310="", "", IFERROR(VLOOKUP(IFERROR(VLOOKUP(SUBSTITUTE(E310,"DS ","")&amp;F310, wilayahfix!$A:$D, 2, 0), ""), user!$B:$D, 2, 0), "TIDAK KETEMU"))</f>
        <v/>
      </c>
      <c r="K310" s="39" t="str">
        <f>IF(E310="", "", IFERROR(VLOOKUP(IFERROR(VLOOKUP(SUBSTITUTE(E310,"DS ","")&amp;F310,#REF!, 2, 0), ""), user!$B:$D, 3, 0), ""))</f>
        <v/>
      </c>
    </row>
    <row r="311" spans="10:11" x14ac:dyDescent="0.25">
      <c r="J311" s="39"/>
      <c r="K311" s="39"/>
    </row>
    <row r="312" spans="10:11" x14ac:dyDescent="0.25">
      <c r="J312" s="39" t="str">
        <f>IF(E312="", "", IFERROR(VLOOKUP(IFERROR(VLOOKUP(SUBSTITUTE(E312,"DS ","")&amp;F312, wilayahfix!$A:$D, 2, 0), ""), user!$B:$D, 2, 0), "TIDAK KETEMU"))</f>
        <v/>
      </c>
      <c r="K312" s="39" t="str">
        <f>IF(E312="", "", IFERROR(VLOOKUP(IFERROR(VLOOKUP(SUBSTITUTE(E312,"DS ","")&amp;F312,#REF!, 2, 0), ""), user!$B:$D, 3, 0), ""))</f>
        <v/>
      </c>
    </row>
    <row r="313" spans="10:11" x14ac:dyDescent="0.25">
      <c r="J313" s="39"/>
      <c r="K313" s="39"/>
    </row>
    <row r="314" spans="10:11" x14ac:dyDescent="0.25">
      <c r="J314" s="39" t="str">
        <f>IF(E314="", "", IFERROR(VLOOKUP(IFERROR(VLOOKUP(SUBSTITUTE(E314,"DS ","")&amp;F314, wilayahfix!$A:$D, 2, 0), ""), user!$B:$D, 2, 0), "TIDAK KETEMU"))</f>
        <v/>
      </c>
      <c r="K314" s="39" t="str">
        <f>IF(E314="", "", IFERROR(VLOOKUP(IFERROR(VLOOKUP(SUBSTITUTE(E314,"DS ","")&amp;F314,#REF!, 2, 0), ""), user!$B:$D, 3, 0), ""))</f>
        <v/>
      </c>
    </row>
    <row r="315" spans="10:11" x14ac:dyDescent="0.25">
      <c r="J315" s="39"/>
      <c r="K315" s="39"/>
    </row>
    <row r="316" spans="10:11" x14ac:dyDescent="0.25">
      <c r="J316" s="39" t="str">
        <f>IF(E316="", "", IFERROR(VLOOKUP(IFERROR(VLOOKUP(SUBSTITUTE(E316,"DS ","")&amp;F316, wilayahfix!$A:$D, 2, 0), ""), user!$B:$D, 2, 0), "TIDAK KETEMU"))</f>
        <v/>
      </c>
      <c r="K316" s="39" t="str">
        <f>IF(E316="", "", IFERROR(VLOOKUP(IFERROR(VLOOKUP(SUBSTITUTE(E316,"DS ","")&amp;F316,#REF!, 2, 0), ""), user!$B:$D, 3, 0), ""))</f>
        <v/>
      </c>
    </row>
    <row r="317" spans="10:11" x14ac:dyDescent="0.25">
      <c r="J317" s="39"/>
      <c r="K317" s="39"/>
    </row>
    <row r="318" spans="10:11" x14ac:dyDescent="0.25">
      <c r="J318" s="39" t="str">
        <f>IF(E318="", "", IFERROR(VLOOKUP(IFERROR(VLOOKUP(SUBSTITUTE(E318,"DS ","")&amp;F318, wilayahfix!$A:$D, 2, 0), ""), user!$B:$D, 2, 0), "TIDAK KETEMU"))</f>
        <v/>
      </c>
      <c r="K318" s="39" t="str">
        <f>IF(E318="", "", IFERROR(VLOOKUP(IFERROR(VLOOKUP(SUBSTITUTE(E318,"DS ","")&amp;F318,#REF!, 2, 0), ""), user!$B:$D, 3, 0), ""))</f>
        <v/>
      </c>
    </row>
    <row r="319" spans="10:11" x14ac:dyDescent="0.25">
      <c r="J319" s="39"/>
      <c r="K319" s="39"/>
    </row>
    <row r="320" spans="10:11" x14ac:dyDescent="0.25">
      <c r="J320" s="39" t="str">
        <f>IF(E320="", "", IFERROR(VLOOKUP(IFERROR(VLOOKUP(SUBSTITUTE(E320,"DS ","")&amp;F320, wilayahfix!$A:$D, 2, 0), ""), user!$B:$D, 2, 0), "TIDAK KETEMU"))</f>
        <v/>
      </c>
      <c r="K320" s="39" t="str">
        <f>IF(E320="", "", IFERROR(VLOOKUP(IFERROR(VLOOKUP(SUBSTITUTE(E320,"DS ","")&amp;F320,#REF!, 2, 0), ""), user!$B:$D, 3, 0), ""))</f>
        <v/>
      </c>
    </row>
    <row r="321" spans="10:11" x14ac:dyDescent="0.25">
      <c r="J321" s="39"/>
      <c r="K321" s="39"/>
    </row>
    <row r="322" spans="10:11" x14ac:dyDescent="0.25">
      <c r="J322" s="39" t="str">
        <f>IF(E322="", "", IFERROR(VLOOKUP(IFERROR(VLOOKUP(SUBSTITUTE(E322,"DS ","")&amp;F322, wilayahfix!$A:$D, 2, 0), ""), user!$B:$D, 2, 0), "TIDAK KETEMU"))</f>
        <v/>
      </c>
      <c r="K322" s="39" t="str">
        <f>IF(E322="", "", IFERROR(VLOOKUP(IFERROR(VLOOKUP(SUBSTITUTE(E322,"DS ","")&amp;F322,#REF!, 2, 0), ""), user!$B:$D, 3, 0), ""))</f>
        <v/>
      </c>
    </row>
    <row r="323" spans="10:11" x14ac:dyDescent="0.25">
      <c r="J323" s="39"/>
      <c r="K323" s="39"/>
    </row>
    <row r="324" spans="10:11" x14ac:dyDescent="0.25">
      <c r="J324" s="39" t="str">
        <f>IF(E324="", "", IFERROR(VLOOKUP(IFERROR(VLOOKUP(SUBSTITUTE(E324,"DS ","")&amp;F324, wilayahfix!$A:$D, 2, 0), ""), user!$B:$D, 2, 0), "TIDAK KETEMU"))</f>
        <v/>
      </c>
      <c r="K324" s="39" t="str">
        <f>IF(E324="", "", IFERROR(VLOOKUP(IFERROR(VLOOKUP(SUBSTITUTE(E324,"DS ","")&amp;F324,#REF!, 2, 0), ""), user!$B:$D, 3, 0), ""))</f>
        <v/>
      </c>
    </row>
    <row r="325" spans="10:11" x14ac:dyDescent="0.25">
      <c r="J325" s="39"/>
      <c r="K325" s="39"/>
    </row>
    <row r="326" spans="10:11" x14ac:dyDescent="0.25">
      <c r="J326" s="39" t="str">
        <f>IF(E326="", "", IFERROR(VLOOKUP(IFERROR(VLOOKUP(SUBSTITUTE(E326,"DS ","")&amp;F326, wilayahfix!$A:$D, 2, 0), ""), user!$B:$D, 2, 0), "TIDAK KETEMU"))</f>
        <v/>
      </c>
      <c r="K326" s="39" t="str">
        <f>IF(E326="", "", IFERROR(VLOOKUP(IFERROR(VLOOKUP(SUBSTITUTE(E326,"DS ","")&amp;F326,#REF!, 2, 0), ""), user!$B:$D, 3, 0), ""))</f>
        <v/>
      </c>
    </row>
    <row r="327" spans="10:11" x14ac:dyDescent="0.25">
      <c r="J327" s="39"/>
      <c r="K327" s="39"/>
    </row>
    <row r="328" spans="10:11" x14ac:dyDescent="0.25">
      <c r="J328" s="39" t="str">
        <f>IF(E328="", "", IFERROR(VLOOKUP(IFERROR(VLOOKUP(SUBSTITUTE(E328,"DS ","")&amp;F328, wilayahfix!$A:$D, 2, 0), ""), user!$B:$D, 2, 0), "TIDAK KETEMU"))</f>
        <v/>
      </c>
      <c r="K328" s="39" t="str">
        <f>IF(E328="", "", IFERROR(VLOOKUP(IFERROR(VLOOKUP(SUBSTITUTE(E328,"DS ","")&amp;F328,#REF!, 2, 0), ""), user!$B:$D, 3, 0), ""))</f>
        <v/>
      </c>
    </row>
    <row r="329" spans="10:11" x14ac:dyDescent="0.25">
      <c r="J329" s="39"/>
      <c r="K329" s="39"/>
    </row>
    <row r="330" spans="10:11" x14ac:dyDescent="0.25">
      <c r="J330" s="39" t="str">
        <f>IF(E330="", "", IFERROR(VLOOKUP(IFERROR(VLOOKUP(SUBSTITUTE(E330,"DS ","")&amp;F330, wilayahfix!$A:$D, 2, 0), ""), user!$B:$D, 2, 0), "TIDAK KETEMU"))</f>
        <v/>
      </c>
      <c r="K330" s="39" t="str">
        <f>IF(E330="", "", IFERROR(VLOOKUP(IFERROR(VLOOKUP(SUBSTITUTE(E330,"DS ","")&amp;F330,#REF!, 2, 0), ""), user!$B:$D, 3, 0), ""))</f>
        <v/>
      </c>
    </row>
    <row r="331" spans="10:11" x14ac:dyDescent="0.25">
      <c r="J331" s="39"/>
      <c r="K331" s="39"/>
    </row>
    <row r="332" spans="10:11" x14ac:dyDescent="0.25">
      <c r="J332" s="39" t="str">
        <f>IF(E332="", "", IFERROR(VLOOKUP(IFERROR(VLOOKUP(SUBSTITUTE(E332,"DS ","")&amp;F332, wilayahfix!$A:$D, 2, 0), ""), user!$B:$D, 2, 0), "TIDAK KETEMU"))</f>
        <v/>
      </c>
      <c r="K332" s="39" t="str">
        <f>IF(E332="", "", IFERROR(VLOOKUP(IFERROR(VLOOKUP(SUBSTITUTE(E332,"DS ","")&amp;F332,#REF!, 2, 0), ""), user!$B:$D, 3, 0), ""))</f>
        <v/>
      </c>
    </row>
    <row r="333" spans="10:11" x14ac:dyDescent="0.25">
      <c r="J333" s="39"/>
      <c r="K333" s="39"/>
    </row>
    <row r="334" spans="10:11" x14ac:dyDescent="0.25">
      <c r="J334" s="39" t="str">
        <f>IF(E334="", "", IFERROR(VLOOKUP(IFERROR(VLOOKUP(SUBSTITUTE(E334,"DS ","")&amp;F334, wilayahfix!$A:$D, 2, 0), ""), user!$B:$D, 2, 0), "TIDAK KETEMU"))</f>
        <v/>
      </c>
      <c r="K334" s="39" t="str">
        <f>IF(E334="", "", IFERROR(VLOOKUP(IFERROR(VLOOKUP(SUBSTITUTE(E334,"DS ","")&amp;F334,#REF!, 2, 0), ""), user!$B:$D, 3, 0), ""))</f>
        <v/>
      </c>
    </row>
    <row r="335" spans="10:11" x14ac:dyDescent="0.25">
      <c r="J335" s="39"/>
      <c r="K335" s="39"/>
    </row>
    <row r="336" spans="10:11" x14ac:dyDescent="0.25">
      <c r="J336" s="39" t="str">
        <f>IF(E336="", "", IFERROR(VLOOKUP(IFERROR(VLOOKUP(SUBSTITUTE(E336,"DS ","")&amp;F336, wilayahfix!$A:$D, 2, 0), ""), user!$B:$D, 2, 0), "TIDAK KETEMU"))</f>
        <v/>
      </c>
      <c r="K336" s="39" t="str">
        <f>IF(E336="", "", IFERROR(VLOOKUP(IFERROR(VLOOKUP(SUBSTITUTE(E336,"DS ","")&amp;F336,#REF!, 2, 0), ""), user!$B:$D, 3, 0), ""))</f>
        <v/>
      </c>
    </row>
    <row r="337" spans="10:11" x14ac:dyDescent="0.25">
      <c r="J337" s="39"/>
      <c r="K337" s="39"/>
    </row>
    <row r="338" spans="10:11" x14ac:dyDescent="0.25">
      <c r="J338" s="39" t="str">
        <f>IF(E338="", "", IFERROR(VLOOKUP(IFERROR(VLOOKUP(SUBSTITUTE(E338,"DS ","")&amp;F338, wilayahfix!$A:$D, 2, 0), ""), user!$B:$D, 2, 0), "TIDAK KETEMU"))</f>
        <v/>
      </c>
      <c r="K338" s="39" t="str">
        <f>IF(E338="", "", IFERROR(VLOOKUP(IFERROR(VLOOKUP(SUBSTITUTE(E338,"DS ","")&amp;F338,#REF!, 2, 0), ""), user!$B:$D, 3, 0), ""))</f>
        <v/>
      </c>
    </row>
    <row r="339" spans="10:11" x14ac:dyDescent="0.25">
      <c r="J339" s="39"/>
      <c r="K339" s="39"/>
    </row>
    <row r="340" spans="10:11" x14ac:dyDescent="0.25">
      <c r="J340" s="39" t="str">
        <f>IF(E340="", "", IFERROR(VLOOKUP(IFERROR(VLOOKUP(SUBSTITUTE(E340,"DS ","")&amp;F340, wilayahfix!$A:$D, 2, 0), ""), user!$B:$D, 2, 0), "TIDAK KETEMU"))</f>
        <v/>
      </c>
      <c r="K340" s="39" t="str">
        <f>IF(E340="", "", IFERROR(VLOOKUP(IFERROR(VLOOKUP(SUBSTITUTE(E340,"DS ","")&amp;F340,#REF!, 2, 0), ""), user!$B:$D, 3, 0), ""))</f>
        <v/>
      </c>
    </row>
    <row r="341" spans="10:11" x14ac:dyDescent="0.25">
      <c r="J341" s="39"/>
      <c r="K341" s="39"/>
    </row>
    <row r="342" spans="10:11" x14ac:dyDescent="0.25">
      <c r="J342" s="39" t="str">
        <f>IF(E342="", "", IFERROR(VLOOKUP(IFERROR(VLOOKUP(SUBSTITUTE(E342,"DS ","")&amp;F342, wilayahfix!$A:$D, 2, 0), ""), user!$B:$D, 2, 0), "TIDAK KETEMU"))</f>
        <v/>
      </c>
      <c r="K342" s="39" t="str">
        <f>IF(E342="", "", IFERROR(VLOOKUP(IFERROR(VLOOKUP(SUBSTITUTE(E342,"DS ","")&amp;F342,#REF!, 2, 0), ""), user!$B:$D, 3, 0), ""))</f>
        <v/>
      </c>
    </row>
    <row r="343" spans="10:11" x14ac:dyDescent="0.25">
      <c r="J343" s="39"/>
      <c r="K343" s="39"/>
    </row>
    <row r="344" spans="10:11" x14ac:dyDescent="0.25">
      <c r="J344" s="39" t="str">
        <f>IF(E344="", "", IFERROR(VLOOKUP(IFERROR(VLOOKUP(SUBSTITUTE(E344,"DS ","")&amp;F344, wilayahfix!$A:$D, 2, 0), ""), user!$B:$D, 2, 0), "TIDAK KETEMU"))</f>
        <v/>
      </c>
      <c r="K344" s="39" t="str">
        <f>IF(E344="", "", IFERROR(VLOOKUP(IFERROR(VLOOKUP(SUBSTITUTE(E344,"DS ","")&amp;F344,#REF!, 2, 0), ""), user!$B:$D, 3, 0), ""))</f>
        <v/>
      </c>
    </row>
    <row r="345" spans="10:11" x14ac:dyDescent="0.25">
      <c r="J345" s="39"/>
      <c r="K345" s="39"/>
    </row>
    <row r="346" spans="10:11" x14ac:dyDescent="0.25">
      <c r="J346" s="39" t="str">
        <f>IF(E346="", "", IFERROR(VLOOKUP(IFERROR(VLOOKUP(SUBSTITUTE(E346,"DS ","")&amp;F346, wilayahfix!$A:$D, 2, 0), ""), user!$B:$D, 2, 0), "TIDAK KETEMU"))</f>
        <v/>
      </c>
      <c r="K346" s="39" t="str">
        <f>IF(E346="", "", IFERROR(VLOOKUP(IFERROR(VLOOKUP(SUBSTITUTE(E346,"DS ","")&amp;F346,#REF!, 2, 0), ""), user!$B:$D, 3, 0), ""))</f>
        <v/>
      </c>
    </row>
    <row r="347" spans="10:11" x14ac:dyDescent="0.25">
      <c r="J347" s="39"/>
      <c r="K347" s="39"/>
    </row>
    <row r="348" spans="10:11" x14ac:dyDescent="0.25">
      <c r="J348" s="39" t="str">
        <f>IF(E348="", "", IFERROR(VLOOKUP(IFERROR(VLOOKUP(SUBSTITUTE(E348,"DS ","")&amp;F348, wilayahfix!$A:$D, 2, 0), ""), user!$B:$D, 2, 0), "TIDAK KETEMU"))</f>
        <v/>
      </c>
      <c r="K348" s="39" t="str">
        <f>IF(E348="", "", IFERROR(VLOOKUP(IFERROR(VLOOKUP(SUBSTITUTE(E348,"DS ","")&amp;F348,#REF!, 2, 0), ""), user!$B:$D, 3, 0), ""))</f>
        <v/>
      </c>
    </row>
    <row r="349" spans="10:11" x14ac:dyDescent="0.25">
      <c r="J349" s="39"/>
      <c r="K349" s="39"/>
    </row>
    <row r="350" spans="10:11" x14ac:dyDescent="0.25">
      <c r="J350" s="39" t="str">
        <f>IF(E350="", "", IFERROR(VLOOKUP(IFERROR(VLOOKUP(SUBSTITUTE(E350,"DS ","")&amp;F350, wilayahfix!$A:$D, 2, 0), ""), user!$B:$D, 2, 0), "TIDAK KETEMU"))</f>
        <v/>
      </c>
      <c r="K350" s="39" t="str">
        <f>IF(E350="", "", IFERROR(VLOOKUP(IFERROR(VLOOKUP(SUBSTITUTE(E350,"DS ","")&amp;F350,#REF!, 2, 0), ""), user!$B:$D, 3, 0), ""))</f>
        <v/>
      </c>
    </row>
    <row r="351" spans="10:11" x14ac:dyDescent="0.25">
      <c r="J351" s="39"/>
      <c r="K351" s="39"/>
    </row>
    <row r="352" spans="10:11" x14ac:dyDescent="0.25">
      <c r="J352" s="39" t="str">
        <f>IF(E352="", "", IFERROR(VLOOKUP(IFERROR(VLOOKUP(SUBSTITUTE(E352,"DS ","")&amp;F352, wilayahfix!$A:$D, 2, 0), ""), user!$B:$D, 2, 0), "TIDAK KETEMU"))</f>
        <v/>
      </c>
      <c r="K352" s="39" t="str">
        <f>IF(E352="", "", IFERROR(VLOOKUP(IFERROR(VLOOKUP(SUBSTITUTE(E352,"DS ","")&amp;F352,#REF!, 2, 0), ""), user!$B:$D, 3, 0), ""))</f>
        <v/>
      </c>
    </row>
    <row r="353" spans="10:11" x14ac:dyDescent="0.25">
      <c r="J353" s="39"/>
      <c r="K353" s="39"/>
    </row>
    <row r="354" spans="10:11" x14ac:dyDescent="0.25">
      <c r="J354" s="39" t="str">
        <f>IF(E354="", "", IFERROR(VLOOKUP(IFERROR(VLOOKUP(SUBSTITUTE(E354,"DS ","")&amp;F354, wilayahfix!$A:$D, 2, 0), ""), user!$B:$D, 2, 0), "TIDAK KETEMU"))</f>
        <v/>
      </c>
      <c r="K354" s="39" t="str">
        <f>IF(E354="", "", IFERROR(VLOOKUP(IFERROR(VLOOKUP(SUBSTITUTE(E354,"DS ","")&amp;F354,#REF!, 2, 0), ""), user!$B:$D, 3, 0), ""))</f>
        <v/>
      </c>
    </row>
    <row r="355" spans="10:11" x14ac:dyDescent="0.25">
      <c r="J355" s="39"/>
      <c r="K355" s="39"/>
    </row>
    <row r="356" spans="10:11" x14ac:dyDescent="0.25">
      <c r="J356" s="39" t="str">
        <f>IF(E356="", "", IFERROR(VLOOKUP(IFERROR(VLOOKUP(SUBSTITUTE(E356,"DS ","")&amp;F356, wilayahfix!$A:$D, 2, 0), ""), user!$B:$D, 2, 0), "TIDAK KETEMU"))</f>
        <v/>
      </c>
      <c r="K356" s="39" t="str">
        <f>IF(E356="", "", IFERROR(VLOOKUP(IFERROR(VLOOKUP(SUBSTITUTE(E356,"DS ","")&amp;F356,#REF!, 2, 0), ""), user!$B:$D, 3, 0), ""))</f>
        <v/>
      </c>
    </row>
    <row r="357" spans="10:11" x14ac:dyDescent="0.25">
      <c r="J357" s="39"/>
      <c r="K357" s="39"/>
    </row>
    <row r="358" spans="10:11" x14ac:dyDescent="0.25">
      <c r="J358" s="39" t="str">
        <f>IF(E358="", "", IFERROR(VLOOKUP(IFERROR(VLOOKUP(SUBSTITUTE(E358,"DS ","")&amp;F358, wilayahfix!$A:$D, 2, 0), ""), user!$B:$D, 2, 0), "TIDAK KETEMU"))</f>
        <v/>
      </c>
      <c r="K358" s="39" t="str">
        <f>IF(E358="", "", IFERROR(VLOOKUP(IFERROR(VLOOKUP(SUBSTITUTE(E358,"DS ","")&amp;F358,#REF!, 2, 0), ""), user!$B:$D, 3, 0), ""))</f>
        <v/>
      </c>
    </row>
    <row r="359" spans="10:11" x14ac:dyDescent="0.25">
      <c r="J359" s="39"/>
      <c r="K359" s="39"/>
    </row>
    <row r="360" spans="10:11" x14ac:dyDescent="0.25">
      <c r="J360" s="39" t="str">
        <f>IF(E360="", "", IFERROR(VLOOKUP(IFERROR(VLOOKUP(SUBSTITUTE(E360,"DS ","")&amp;F360, wilayahfix!$A:$D, 2, 0), ""), user!$B:$D, 2, 0), "TIDAK KETEMU"))</f>
        <v/>
      </c>
      <c r="K360" s="39" t="str">
        <f>IF(E360="", "", IFERROR(VLOOKUP(IFERROR(VLOOKUP(SUBSTITUTE(E360,"DS ","")&amp;F360,#REF!, 2, 0), ""), user!$B:$D, 3, 0), ""))</f>
        <v/>
      </c>
    </row>
    <row r="361" spans="10:11" x14ac:dyDescent="0.25">
      <c r="J361" s="39"/>
      <c r="K361" s="39"/>
    </row>
    <row r="362" spans="10:11" x14ac:dyDescent="0.25">
      <c r="J362" s="39" t="str">
        <f>IF(E362="", "", IFERROR(VLOOKUP(IFERROR(VLOOKUP(SUBSTITUTE(E362,"DS ","")&amp;F362, wilayahfix!$A:$D, 2, 0), ""), user!$B:$D, 2, 0), "TIDAK KETEMU"))</f>
        <v/>
      </c>
      <c r="K362" s="39" t="str">
        <f>IF(E362="", "", IFERROR(VLOOKUP(IFERROR(VLOOKUP(SUBSTITUTE(E362,"DS ","")&amp;F362,#REF!, 2, 0), ""), user!$B:$D, 3, 0), ""))</f>
        <v/>
      </c>
    </row>
    <row r="363" spans="10:11" x14ac:dyDescent="0.25">
      <c r="J363" s="39"/>
      <c r="K363" s="39"/>
    </row>
    <row r="364" spans="10:11" x14ac:dyDescent="0.25">
      <c r="J364" s="39" t="str">
        <f>IF(E364="", "", IFERROR(VLOOKUP(IFERROR(VLOOKUP(SUBSTITUTE(E364,"DS ","")&amp;F364, wilayahfix!$A:$D, 2, 0), ""), user!$B:$D, 2, 0), "TIDAK KETEMU"))</f>
        <v/>
      </c>
      <c r="K364" s="39" t="str">
        <f>IF(E364="", "", IFERROR(VLOOKUP(IFERROR(VLOOKUP(SUBSTITUTE(E364,"DS ","")&amp;F364,#REF!, 2, 0), ""), user!$B:$D, 3, 0), ""))</f>
        <v/>
      </c>
    </row>
    <row r="365" spans="10:11" x14ac:dyDescent="0.25">
      <c r="J365" s="39"/>
      <c r="K365" s="39"/>
    </row>
    <row r="366" spans="10:11" x14ac:dyDescent="0.25">
      <c r="J366" s="39" t="str">
        <f>IF(E366="", "", IFERROR(VLOOKUP(IFERROR(VLOOKUP(SUBSTITUTE(E366,"DS ","")&amp;F366, wilayahfix!$A:$D, 2, 0), ""), user!$B:$D, 2, 0), "TIDAK KETEMU"))</f>
        <v/>
      </c>
      <c r="K366" s="39" t="str">
        <f>IF(E366="", "", IFERROR(VLOOKUP(IFERROR(VLOOKUP(SUBSTITUTE(E366,"DS ","")&amp;F366,#REF!, 2, 0), ""), user!$B:$D, 3, 0), ""))</f>
        <v/>
      </c>
    </row>
    <row r="367" spans="10:11" x14ac:dyDescent="0.25">
      <c r="J367" s="39"/>
      <c r="K367" s="39"/>
    </row>
    <row r="368" spans="10:11" x14ac:dyDescent="0.25">
      <c r="J368" s="39" t="str">
        <f>IF(E368="", "", IFERROR(VLOOKUP(IFERROR(VLOOKUP(SUBSTITUTE(E368,"DS ","")&amp;F368, wilayahfix!$A:$D, 2, 0), ""), user!$B:$D, 2, 0), "TIDAK KETEMU"))</f>
        <v/>
      </c>
      <c r="K368" s="39" t="str">
        <f>IF(E368="", "", IFERROR(VLOOKUP(IFERROR(VLOOKUP(SUBSTITUTE(E368,"DS ","")&amp;F368,#REF!, 2, 0), ""), user!$B:$D, 3, 0), ""))</f>
        <v/>
      </c>
    </row>
    <row r="369" spans="10:11" x14ac:dyDescent="0.25">
      <c r="J369" s="39"/>
      <c r="K369" s="39"/>
    </row>
    <row r="370" spans="10:11" x14ac:dyDescent="0.25">
      <c r="J370" s="39" t="str">
        <f>IF(E370="", "", IFERROR(VLOOKUP(IFERROR(VLOOKUP(SUBSTITUTE(E370,"DS ","")&amp;F370, wilayahfix!$A:$D, 2, 0), ""), user!$B:$D, 2, 0), "TIDAK KETEMU"))</f>
        <v/>
      </c>
      <c r="K370" s="39" t="str">
        <f>IF(E370="", "", IFERROR(VLOOKUP(IFERROR(VLOOKUP(SUBSTITUTE(E370,"DS ","")&amp;F370,#REF!, 2, 0), ""), user!$B:$D, 3, 0), ""))</f>
        <v/>
      </c>
    </row>
    <row r="371" spans="10:11" x14ac:dyDescent="0.25">
      <c r="J371" s="39"/>
      <c r="K371" s="39"/>
    </row>
    <row r="372" spans="10:11" x14ac:dyDescent="0.25">
      <c r="J372" s="39" t="str">
        <f>IF(E372="", "", IFERROR(VLOOKUP(IFERROR(VLOOKUP(SUBSTITUTE(E372,"DS ","")&amp;F372, wilayahfix!$A:$D, 2, 0), ""), user!$B:$D, 2, 0), "TIDAK KETEMU"))</f>
        <v/>
      </c>
      <c r="K372" s="39" t="str">
        <f>IF(E372="", "", IFERROR(VLOOKUP(IFERROR(VLOOKUP(SUBSTITUTE(E372,"DS ","")&amp;F372,#REF!, 2, 0), ""), user!$B:$D, 3, 0), ""))</f>
        <v/>
      </c>
    </row>
    <row r="373" spans="10:11" x14ac:dyDescent="0.25">
      <c r="J373" s="39"/>
      <c r="K373" s="39"/>
    </row>
    <row r="374" spans="10:11" x14ac:dyDescent="0.25">
      <c r="J374" s="39" t="str">
        <f>IF(E374="", "", IFERROR(VLOOKUP(IFERROR(VLOOKUP(SUBSTITUTE(E374,"DS ","")&amp;F374, wilayahfix!$A:$D, 2, 0), ""), user!$B:$D, 2, 0), "TIDAK KETEMU"))</f>
        <v/>
      </c>
      <c r="K374" s="39" t="str">
        <f>IF(E374="", "", IFERROR(VLOOKUP(IFERROR(VLOOKUP(SUBSTITUTE(E374,"DS ","")&amp;F374,#REF!, 2, 0), ""), user!$B:$D, 3, 0), ""))</f>
        <v/>
      </c>
    </row>
    <row r="375" spans="10:11" x14ac:dyDescent="0.25">
      <c r="J375" s="39"/>
      <c r="K375" s="39"/>
    </row>
    <row r="376" spans="10:11" x14ac:dyDescent="0.25">
      <c r="J376" s="39" t="str">
        <f>IF(E376="", "", IFERROR(VLOOKUP(IFERROR(VLOOKUP(SUBSTITUTE(E376,"DS ","")&amp;F376, wilayahfix!$A:$D, 2, 0), ""), user!$B:$D, 2, 0), "TIDAK KETEMU"))</f>
        <v/>
      </c>
      <c r="K376" s="39" t="str">
        <f>IF(E376="", "", IFERROR(VLOOKUP(IFERROR(VLOOKUP(SUBSTITUTE(E376,"DS ","")&amp;F376,#REF!, 2, 0), ""), user!$B:$D, 3, 0), ""))</f>
        <v/>
      </c>
    </row>
    <row r="377" spans="10:11" x14ac:dyDescent="0.25">
      <c r="J377" s="39"/>
      <c r="K377" s="39"/>
    </row>
    <row r="378" spans="10:11" x14ac:dyDescent="0.25">
      <c r="J378" s="39" t="str">
        <f>IF(E378="", "", IFERROR(VLOOKUP(IFERROR(VLOOKUP(SUBSTITUTE(E378,"DS ","")&amp;F378, wilayahfix!$A:$D, 2, 0), ""), user!$B:$D, 2, 0), "TIDAK KETEMU"))</f>
        <v/>
      </c>
      <c r="K378" s="39" t="str">
        <f>IF(E378="", "", IFERROR(VLOOKUP(IFERROR(VLOOKUP(SUBSTITUTE(E378,"DS ","")&amp;F378,#REF!, 2, 0), ""), user!$B:$D, 3, 0), ""))</f>
        <v/>
      </c>
    </row>
    <row r="379" spans="10:11" x14ac:dyDescent="0.25">
      <c r="J379" s="39"/>
      <c r="K379" s="39"/>
    </row>
    <row r="380" spans="10:11" x14ac:dyDescent="0.25">
      <c r="J380" s="39" t="str">
        <f>IF(E380="", "", IFERROR(VLOOKUP(IFERROR(VLOOKUP(SUBSTITUTE(E380,"DS ","")&amp;F380, wilayahfix!$A:$D, 2, 0), ""), user!$B:$D, 2, 0), "TIDAK KETEMU"))</f>
        <v/>
      </c>
      <c r="K380" s="39" t="str">
        <f>IF(E380="", "", IFERROR(VLOOKUP(IFERROR(VLOOKUP(SUBSTITUTE(E380,"DS ","")&amp;F380,#REF!, 2, 0), ""), user!$B:$D, 3, 0), ""))</f>
        <v/>
      </c>
    </row>
    <row r="381" spans="10:11" x14ac:dyDescent="0.25">
      <c r="J381" s="39"/>
      <c r="K381" s="39"/>
    </row>
    <row r="382" spans="10:11" x14ac:dyDescent="0.25">
      <c r="J382" s="39" t="str">
        <f>IF(E382="", "", IFERROR(VLOOKUP(IFERROR(VLOOKUP(SUBSTITUTE(E382,"DS ","")&amp;F382, wilayahfix!$A:$D, 2, 0), ""), user!$B:$D, 2, 0), "TIDAK KETEMU"))</f>
        <v/>
      </c>
      <c r="K382" s="39" t="str">
        <f>IF(E382="", "", IFERROR(VLOOKUP(IFERROR(VLOOKUP(SUBSTITUTE(E382,"DS ","")&amp;F382,#REF!, 2, 0), ""), user!$B:$D, 3, 0), ""))</f>
        <v/>
      </c>
    </row>
    <row r="383" spans="10:11" x14ac:dyDescent="0.25">
      <c r="J383" s="39"/>
      <c r="K383" s="39"/>
    </row>
    <row r="384" spans="10:11" x14ac:dyDescent="0.25">
      <c r="J384" s="39" t="str">
        <f>IF(E384="", "", IFERROR(VLOOKUP(IFERROR(VLOOKUP(SUBSTITUTE(E384,"DS ","")&amp;F384, wilayahfix!$A:$D, 2, 0), ""), user!$B:$D, 2, 0), "TIDAK KETEMU"))</f>
        <v/>
      </c>
      <c r="K384" s="39" t="str">
        <f>IF(E384="", "", IFERROR(VLOOKUP(IFERROR(VLOOKUP(SUBSTITUTE(E384,"DS ","")&amp;F384,#REF!, 2, 0), ""), user!$B:$D, 3, 0), ""))</f>
        <v/>
      </c>
    </row>
    <row r="385" spans="10:11" x14ac:dyDescent="0.25">
      <c r="J385" s="39"/>
      <c r="K385" s="39"/>
    </row>
    <row r="386" spans="10:11" x14ac:dyDescent="0.25">
      <c r="J386" s="39" t="str">
        <f>IF(E386="", "", IFERROR(VLOOKUP(IFERROR(VLOOKUP(SUBSTITUTE(E386,"DS ","")&amp;F386, wilayahfix!$A:$D, 2, 0), ""), user!$B:$D, 2, 0), "TIDAK KETEMU"))</f>
        <v/>
      </c>
      <c r="K386" s="39" t="str">
        <f>IF(E386="", "", IFERROR(VLOOKUP(IFERROR(VLOOKUP(SUBSTITUTE(E386,"DS ","")&amp;F386,#REF!, 2, 0), ""), user!$B:$D, 3, 0), ""))</f>
        <v/>
      </c>
    </row>
    <row r="387" spans="10:11" x14ac:dyDescent="0.25">
      <c r="J387" s="39"/>
      <c r="K387" s="39"/>
    </row>
    <row r="388" spans="10:11" x14ac:dyDescent="0.25">
      <c r="J388" s="39" t="str">
        <f>IF(E388="", "", IFERROR(VLOOKUP(IFERROR(VLOOKUP(SUBSTITUTE(E388,"DS ","")&amp;F388, wilayahfix!$A:$D, 2, 0), ""), user!$B:$D, 2, 0), "TIDAK KETEMU"))</f>
        <v/>
      </c>
      <c r="K388" s="39" t="str">
        <f>IF(E388="", "", IFERROR(VLOOKUP(IFERROR(VLOOKUP(SUBSTITUTE(E388,"DS ","")&amp;F388,#REF!, 2, 0), ""), user!$B:$D, 3, 0), ""))</f>
        <v/>
      </c>
    </row>
    <row r="389" spans="10:11" x14ac:dyDescent="0.25">
      <c r="J389" s="39"/>
      <c r="K389" s="39"/>
    </row>
    <row r="390" spans="10:11" x14ac:dyDescent="0.25">
      <c r="J390" s="39" t="str">
        <f>IF(E390="", "", IFERROR(VLOOKUP(IFERROR(VLOOKUP(SUBSTITUTE(E390,"DS ","")&amp;F390, wilayahfix!$A:$D, 2, 0), ""), user!$B:$D, 2, 0), "TIDAK KETEMU"))</f>
        <v/>
      </c>
      <c r="K390" s="39" t="str">
        <f>IF(E390="", "", IFERROR(VLOOKUP(IFERROR(VLOOKUP(SUBSTITUTE(E390,"DS ","")&amp;F390,#REF!, 2, 0), ""), user!$B:$D, 3, 0), ""))</f>
        <v/>
      </c>
    </row>
    <row r="391" spans="10:11" x14ac:dyDescent="0.25">
      <c r="J391" s="39"/>
      <c r="K391" s="39"/>
    </row>
    <row r="392" spans="10:11" x14ac:dyDescent="0.25">
      <c r="J392" s="39" t="str">
        <f>IF(E392="", "", IFERROR(VLOOKUP(IFERROR(VLOOKUP(SUBSTITUTE(E392,"DS ","")&amp;F392, wilayahfix!$A:$D, 2, 0), ""), user!$B:$D, 2, 0), "TIDAK KETEMU"))</f>
        <v/>
      </c>
      <c r="K392" s="39" t="str">
        <f>IF(E392="", "", IFERROR(VLOOKUP(IFERROR(VLOOKUP(SUBSTITUTE(E392,"DS ","")&amp;F392,#REF!, 2, 0), ""), user!$B:$D, 3, 0), ""))</f>
        <v/>
      </c>
    </row>
    <row r="393" spans="10:11" x14ac:dyDescent="0.25">
      <c r="J393" s="39"/>
      <c r="K393" s="39"/>
    </row>
    <row r="394" spans="10:11" x14ac:dyDescent="0.25">
      <c r="J394" s="39" t="str">
        <f>IF(E394="", "", IFERROR(VLOOKUP(IFERROR(VLOOKUP(SUBSTITUTE(E394,"DS ","")&amp;F394, wilayahfix!$A:$D, 2, 0), ""), user!$B:$D, 2, 0), "TIDAK KETEMU"))</f>
        <v/>
      </c>
      <c r="K394" s="39" t="str">
        <f>IF(E394="", "", IFERROR(VLOOKUP(IFERROR(VLOOKUP(SUBSTITUTE(E394,"DS ","")&amp;F394,#REF!, 2, 0), ""), user!$B:$D, 3, 0), ""))</f>
        <v/>
      </c>
    </row>
    <row r="395" spans="10:11" x14ac:dyDescent="0.25">
      <c r="J395" s="39"/>
      <c r="K395" s="39"/>
    </row>
    <row r="396" spans="10:11" x14ac:dyDescent="0.25">
      <c r="J396" s="39" t="str">
        <f>IF(E396="", "", IFERROR(VLOOKUP(IFERROR(VLOOKUP(SUBSTITUTE(E396,"DS ","")&amp;F396, wilayahfix!$A:$D, 2, 0), ""), user!$B:$D, 2, 0), "TIDAK KETEMU"))</f>
        <v/>
      </c>
      <c r="K396" s="39" t="str">
        <f>IF(E396="", "", IFERROR(VLOOKUP(IFERROR(VLOOKUP(SUBSTITUTE(E396,"DS ","")&amp;F396,#REF!, 2, 0), ""), user!$B:$D, 3, 0), ""))</f>
        <v/>
      </c>
    </row>
    <row r="397" spans="10:11" x14ac:dyDescent="0.25">
      <c r="J397" s="39"/>
      <c r="K397" s="39"/>
    </row>
    <row r="398" spans="10:11" x14ac:dyDescent="0.25">
      <c r="J398" s="39" t="str">
        <f>IF(E398="", "", IFERROR(VLOOKUP(IFERROR(VLOOKUP(SUBSTITUTE(E398,"DS ","")&amp;F398, wilayahfix!$A:$D, 2, 0), ""), user!$B:$D, 2, 0), "TIDAK KETEMU"))</f>
        <v/>
      </c>
      <c r="K398" s="39" t="str">
        <f>IF(E398="", "", IFERROR(VLOOKUP(IFERROR(VLOOKUP(SUBSTITUTE(E398,"DS ","")&amp;F398,#REF!, 2, 0), ""), user!$B:$D, 3, 0), ""))</f>
        <v/>
      </c>
    </row>
    <row r="399" spans="10:11" x14ac:dyDescent="0.25">
      <c r="J399" s="39"/>
      <c r="K399" s="39"/>
    </row>
    <row r="400" spans="10:11" x14ac:dyDescent="0.25">
      <c r="J400" s="39" t="str">
        <f>IF(E400="", "", IFERROR(VLOOKUP(IFERROR(VLOOKUP(SUBSTITUTE(E400,"DS ","")&amp;F400, wilayahfix!$A:$D, 2, 0), ""), user!$B:$D, 2, 0), "TIDAK KETEMU"))</f>
        <v/>
      </c>
      <c r="K400" s="39" t="str">
        <f>IF(E400="", "", IFERROR(VLOOKUP(IFERROR(VLOOKUP(SUBSTITUTE(E400,"DS ","")&amp;F400,#REF!, 2, 0), ""), user!$B:$D, 3, 0), ""))</f>
        <v/>
      </c>
    </row>
    <row r="401" spans="10:11" x14ac:dyDescent="0.25">
      <c r="J401" s="39"/>
      <c r="K401" s="39"/>
    </row>
    <row r="402" spans="10:11" x14ac:dyDescent="0.25">
      <c r="J402" s="39" t="str">
        <f>IF(E402="", "", IFERROR(VLOOKUP(IFERROR(VLOOKUP(SUBSTITUTE(E402,"DS ","")&amp;F402, wilayahfix!$A:$D, 2, 0), ""), user!$B:$D, 2, 0), "TIDAK KETEMU"))</f>
        <v/>
      </c>
      <c r="K402" s="39" t="str">
        <f>IF(E402="", "", IFERROR(VLOOKUP(IFERROR(VLOOKUP(SUBSTITUTE(E402,"DS ","")&amp;F402,#REF!, 2, 0), ""), user!$B:$D, 3, 0), ""))</f>
        <v/>
      </c>
    </row>
    <row r="403" spans="10:11" x14ac:dyDescent="0.25">
      <c r="J403" s="39"/>
      <c r="K403" s="39"/>
    </row>
    <row r="404" spans="10:11" x14ac:dyDescent="0.25">
      <c r="J404" s="39" t="str">
        <f>IF(E404="", "", IFERROR(VLOOKUP(IFERROR(VLOOKUP(SUBSTITUTE(E404,"DS ","")&amp;F404, wilayahfix!$A:$D, 2, 0), ""), user!$B:$D, 2, 0), "TIDAK KETEMU"))</f>
        <v/>
      </c>
      <c r="K404" s="39" t="str">
        <f>IF(E404="", "", IFERROR(VLOOKUP(IFERROR(VLOOKUP(SUBSTITUTE(E404,"DS ","")&amp;F404,#REF!, 2, 0), ""), user!$B:$D, 3, 0), ""))</f>
        <v/>
      </c>
    </row>
    <row r="405" spans="10:11" x14ac:dyDescent="0.25">
      <c r="J405" s="39"/>
      <c r="K405" s="39"/>
    </row>
    <row r="406" spans="10:11" x14ac:dyDescent="0.25">
      <c r="J406" s="39" t="str">
        <f>IF(E406="", "", IFERROR(VLOOKUP(IFERROR(VLOOKUP(SUBSTITUTE(E406,"DS ","")&amp;F406, wilayahfix!$A:$D, 2, 0), ""), user!$B:$D, 2, 0), "TIDAK KETEMU"))</f>
        <v/>
      </c>
      <c r="K406" s="39" t="str">
        <f>IF(E406="", "", IFERROR(VLOOKUP(IFERROR(VLOOKUP(SUBSTITUTE(E406,"DS ","")&amp;F406,#REF!, 2, 0), ""), user!$B:$D, 3, 0), ""))</f>
        <v/>
      </c>
    </row>
    <row r="407" spans="10:11" x14ac:dyDescent="0.25">
      <c r="J407" s="39"/>
      <c r="K407" s="39"/>
    </row>
    <row r="408" spans="10:11" x14ac:dyDescent="0.25">
      <c r="J408" s="39" t="str">
        <f>IF(E408="", "", IFERROR(VLOOKUP(IFERROR(VLOOKUP(SUBSTITUTE(E408,"DS ","")&amp;F408, wilayahfix!$A:$D, 2, 0), ""), user!$B:$D, 2, 0), "TIDAK KETEMU"))</f>
        <v/>
      </c>
      <c r="K408" s="39" t="str">
        <f>IF(E408="", "", IFERROR(VLOOKUP(IFERROR(VLOOKUP(SUBSTITUTE(E408,"DS ","")&amp;F408,#REF!, 2, 0), ""), user!$B:$D, 3, 0), ""))</f>
        <v/>
      </c>
    </row>
    <row r="409" spans="10:11" x14ac:dyDescent="0.25">
      <c r="J409" s="39"/>
      <c r="K409" s="39"/>
    </row>
    <row r="410" spans="10:11" x14ac:dyDescent="0.25">
      <c r="J410" s="39" t="str">
        <f>IF(E410="", "", IFERROR(VLOOKUP(IFERROR(VLOOKUP(SUBSTITUTE(E410,"DS ","")&amp;F410, wilayahfix!$A:$D, 2, 0), ""), user!$B:$D, 2, 0), "TIDAK KETEMU"))</f>
        <v/>
      </c>
      <c r="K410" s="39" t="str">
        <f>IF(E410="", "", IFERROR(VLOOKUP(IFERROR(VLOOKUP(SUBSTITUTE(E410,"DS ","")&amp;F410,#REF!, 2, 0), ""), user!$B:$D, 3, 0), ""))</f>
        <v/>
      </c>
    </row>
    <row r="411" spans="10:11" x14ac:dyDescent="0.25">
      <c r="J411" s="39"/>
      <c r="K411" s="39"/>
    </row>
    <row r="412" spans="10:11" x14ac:dyDescent="0.25">
      <c r="J412" s="39" t="str">
        <f>IF(E412="", "", IFERROR(VLOOKUP(IFERROR(VLOOKUP(SUBSTITUTE(E412,"DS ","")&amp;F412, wilayahfix!$A:$D, 2, 0), ""), user!$B:$D, 2, 0), "TIDAK KETEMU"))</f>
        <v/>
      </c>
      <c r="K412" s="39" t="str">
        <f>IF(E412="", "", IFERROR(VLOOKUP(IFERROR(VLOOKUP(SUBSTITUTE(E412,"DS ","")&amp;F412,#REF!, 2, 0), ""), user!$B:$D, 3, 0), ""))</f>
        <v/>
      </c>
    </row>
    <row r="413" spans="10:11" x14ac:dyDescent="0.25">
      <c r="J413" s="39"/>
      <c r="K413" s="39"/>
    </row>
    <row r="414" spans="10:11" x14ac:dyDescent="0.25">
      <c r="J414" s="39" t="str">
        <f>IF(E414="", "", IFERROR(VLOOKUP(IFERROR(VLOOKUP(SUBSTITUTE(E414,"DS ","")&amp;F414, wilayahfix!$A:$D, 2, 0), ""), user!$B:$D, 2, 0), "TIDAK KETEMU"))</f>
        <v/>
      </c>
      <c r="K414" s="39" t="str">
        <f>IF(E414="", "", IFERROR(VLOOKUP(IFERROR(VLOOKUP(SUBSTITUTE(E414,"DS ","")&amp;F414,#REF!, 2, 0), ""), user!$B:$D, 3, 0), ""))</f>
        <v/>
      </c>
    </row>
    <row r="415" spans="10:11" x14ac:dyDescent="0.25">
      <c r="J415" s="39"/>
      <c r="K415" s="39"/>
    </row>
    <row r="416" spans="10:11" x14ac:dyDescent="0.25">
      <c r="J416" s="39" t="str">
        <f>IF(E416="", "", IFERROR(VLOOKUP(IFERROR(VLOOKUP(SUBSTITUTE(E416,"DS ","")&amp;F416, wilayahfix!$A:$D, 2, 0), ""), user!$B:$D, 2, 0), "TIDAK KETEMU"))</f>
        <v/>
      </c>
      <c r="K416" s="39" t="str">
        <f>IF(E416="", "", IFERROR(VLOOKUP(IFERROR(VLOOKUP(SUBSTITUTE(E416,"DS ","")&amp;F416,#REF!, 2, 0), ""), user!$B:$D, 3, 0), ""))</f>
        <v/>
      </c>
    </row>
    <row r="417" spans="10:11" x14ac:dyDescent="0.25">
      <c r="J417" s="39"/>
      <c r="K417" s="39"/>
    </row>
    <row r="418" spans="10:11" x14ac:dyDescent="0.25">
      <c r="J418" s="39" t="str">
        <f>IF(E418="", "", IFERROR(VLOOKUP(IFERROR(VLOOKUP(SUBSTITUTE(E418,"DS ","")&amp;F418, wilayahfix!$A:$D, 2, 0), ""), user!$B:$D, 2, 0), "TIDAK KETEMU"))</f>
        <v/>
      </c>
      <c r="K418" s="39" t="str">
        <f>IF(E418="", "", IFERROR(VLOOKUP(IFERROR(VLOOKUP(SUBSTITUTE(E418,"DS ","")&amp;F418,#REF!, 2, 0), ""), user!$B:$D, 3, 0), ""))</f>
        <v/>
      </c>
    </row>
    <row r="419" spans="10:11" x14ac:dyDescent="0.25">
      <c r="J419" s="39"/>
      <c r="K419" s="39"/>
    </row>
    <row r="420" spans="10:11" x14ac:dyDescent="0.25">
      <c r="J420" s="39" t="str">
        <f>IF(E420="", "", IFERROR(VLOOKUP(IFERROR(VLOOKUP(SUBSTITUTE(E420,"DS ","")&amp;F420, wilayahfix!$A:$D, 2, 0), ""), user!$B:$D, 2, 0), "TIDAK KETEMU"))</f>
        <v/>
      </c>
      <c r="K420" s="39" t="str">
        <f>IF(E420="", "", IFERROR(VLOOKUP(IFERROR(VLOOKUP(SUBSTITUTE(E420,"DS ","")&amp;F420,#REF!, 2, 0), ""), user!$B:$D, 3, 0), ""))</f>
        <v/>
      </c>
    </row>
    <row r="421" spans="10:11" x14ac:dyDescent="0.25">
      <c r="J421" s="39"/>
      <c r="K421" s="39"/>
    </row>
    <row r="422" spans="10:11" x14ac:dyDescent="0.25">
      <c r="J422" s="39" t="str">
        <f>IF(E422="", "", IFERROR(VLOOKUP(IFERROR(VLOOKUP(SUBSTITUTE(E422,"DS ","")&amp;F422, wilayahfix!$A:$D, 2, 0), ""), user!$B:$D, 2, 0), "TIDAK KETEMU"))</f>
        <v/>
      </c>
      <c r="K422" s="39" t="str">
        <f>IF(E422="", "", IFERROR(VLOOKUP(IFERROR(VLOOKUP(SUBSTITUTE(E422,"DS ","")&amp;F422,#REF!, 2, 0), ""), user!$B:$D, 3, 0), ""))</f>
        <v/>
      </c>
    </row>
    <row r="423" spans="10:11" x14ac:dyDescent="0.25">
      <c r="J423" s="39"/>
      <c r="K423" s="39"/>
    </row>
    <row r="424" spans="10:11" x14ac:dyDescent="0.25">
      <c r="J424" s="39" t="str">
        <f>IF(E424="", "", IFERROR(VLOOKUP(IFERROR(VLOOKUP(SUBSTITUTE(E424,"DS ","")&amp;F424, wilayahfix!$A:$D, 2, 0), ""), user!$B:$D, 2, 0), "TIDAK KETEMU"))</f>
        <v/>
      </c>
      <c r="K424" s="39" t="str">
        <f>IF(E424="", "", IFERROR(VLOOKUP(IFERROR(VLOOKUP(SUBSTITUTE(E424,"DS ","")&amp;F424,#REF!, 2, 0), ""), user!$B:$D, 3, 0), ""))</f>
        <v/>
      </c>
    </row>
    <row r="425" spans="10:11" x14ac:dyDescent="0.25">
      <c r="J425" s="39"/>
      <c r="K425" s="39"/>
    </row>
    <row r="426" spans="10:11" x14ac:dyDescent="0.25">
      <c r="J426" s="39" t="str">
        <f>IF(E426="", "", IFERROR(VLOOKUP(IFERROR(VLOOKUP(SUBSTITUTE(E426,"DS ","")&amp;F426, wilayahfix!$A:$D, 2, 0), ""), user!$B:$D, 2, 0), "TIDAK KETEMU"))</f>
        <v/>
      </c>
      <c r="K426" s="39" t="str">
        <f>IF(E426="", "", IFERROR(VLOOKUP(IFERROR(VLOOKUP(SUBSTITUTE(E426,"DS ","")&amp;F426,#REF!, 2, 0), ""), user!$B:$D, 3, 0), ""))</f>
        <v/>
      </c>
    </row>
    <row r="427" spans="10:11" x14ac:dyDescent="0.25">
      <c r="J427" s="39"/>
      <c r="K427" s="39"/>
    </row>
    <row r="428" spans="10:11" x14ac:dyDescent="0.25">
      <c r="J428" s="39" t="str">
        <f>IF(E428="", "", IFERROR(VLOOKUP(IFERROR(VLOOKUP(SUBSTITUTE(E428,"DS ","")&amp;F428, wilayahfix!$A:$D, 2, 0), ""), user!$B:$D, 2, 0), "TIDAK KETEMU"))</f>
        <v/>
      </c>
      <c r="K428" s="39" t="str">
        <f>IF(E428="", "", IFERROR(VLOOKUP(IFERROR(VLOOKUP(SUBSTITUTE(E428,"DS ","")&amp;F428,#REF!, 2, 0), ""), user!$B:$D, 3, 0), ""))</f>
        <v/>
      </c>
    </row>
    <row r="429" spans="10:11" x14ac:dyDescent="0.25">
      <c r="J429" s="39"/>
      <c r="K429" s="39"/>
    </row>
    <row r="430" spans="10:11" x14ac:dyDescent="0.25">
      <c r="J430" s="39" t="str">
        <f>IF(E430="", "", IFERROR(VLOOKUP(IFERROR(VLOOKUP(SUBSTITUTE(E430,"DS ","")&amp;F430, wilayahfix!$A:$D, 2, 0), ""), user!$B:$D, 2, 0), "TIDAK KETEMU"))</f>
        <v/>
      </c>
      <c r="K430" s="39" t="str">
        <f>IF(E430="", "", IFERROR(VLOOKUP(IFERROR(VLOOKUP(SUBSTITUTE(E430,"DS ","")&amp;F430,#REF!, 2, 0), ""), user!$B:$D, 3, 0), ""))</f>
        <v/>
      </c>
    </row>
    <row r="431" spans="10:11" x14ac:dyDescent="0.25">
      <c r="J431" s="39"/>
      <c r="K431" s="39"/>
    </row>
    <row r="432" spans="10:11" x14ac:dyDescent="0.25">
      <c r="J432" s="39" t="str">
        <f>IF(E432="", "", IFERROR(VLOOKUP(IFERROR(VLOOKUP(SUBSTITUTE(E432,"DS ","")&amp;F432, wilayahfix!$A:$D, 2, 0), ""), user!$B:$D, 2, 0), "TIDAK KETEMU"))</f>
        <v/>
      </c>
      <c r="K432" s="39" t="str">
        <f>IF(E432="", "", IFERROR(VLOOKUP(IFERROR(VLOOKUP(SUBSTITUTE(E432,"DS ","")&amp;F432,#REF!, 2, 0), ""), user!$B:$D, 3, 0), ""))</f>
        <v/>
      </c>
    </row>
    <row r="433" spans="10:11" x14ac:dyDescent="0.25">
      <c r="J433" s="39"/>
      <c r="K433" s="39"/>
    </row>
    <row r="434" spans="10:11" x14ac:dyDescent="0.25">
      <c r="J434" s="39" t="str">
        <f>IF(E434="", "", IFERROR(VLOOKUP(IFERROR(VLOOKUP(SUBSTITUTE(E434,"DS ","")&amp;F434, wilayahfix!$A:$D, 2, 0), ""), user!$B:$D, 2, 0), "TIDAK KETEMU"))</f>
        <v/>
      </c>
      <c r="K434" s="39" t="str">
        <f>IF(E434="", "", IFERROR(VLOOKUP(IFERROR(VLOOKUP(SUBSTITUTE(E434,"DS ","")&amp;F434,#REF!, 2, 0), ""), user!$B:$D, 3, 0), ""))</f>
        <v/>
      </c>
    </row>
    <row r="435" spans="10:11" x14ac:dyDescent="0.25">
      <c r="J435" s="39"/>
      <c r="K435" s="39"/>
    </row>
    <row r="436" spans="10:11" x14ac:dyDescent="0.25">
      <c r="J436" s="39" t="str">
        <f>IF(E436="", "", IFERROR(VLOOKUP(IFERROR(VLOOKUP(SUBSTITUTE(E436,"DS ","")&amp;F436, wilayahfix!$A:$D, 2, 0), ""), user!$B:$D, 2, 0), "TIDAK KETEMU"))</f>
        <v/>
      </c>
      <c r="K436" s="39" t="str">
        <f>IF(E436="", "", IFERROR(VLOOKUP(IFERROR(VLOOKUP(SUBSTITUTE(E436,"DS ","")&amp;F436,#REF!, 2, 0), ""), user!$B:$D, 3, 0), ""))</f>
        <v/>
      </c>
    </row>
    <row r="437" spans="10:11" x14ac:dyDescent="0.25">
      <c r="J437" s="39"/>
      <c r="K437" s="39"/>
    </row>
    <row r="438" spans="10:11" x14ac:dyDescent="0.25">
      <c r="J438" s="39" t="str">
        <f>IF(E438="", "", IFERROR(VLOOKUP(IFERROR(VLOOKUP(SUBSTITUTE(E438,"DS ","")&amp;F438, wilayahfix!$A:$D, 2, 0), ""), user!$B:$D, 2, 0), "TIDAK KETEMU"))</f>
        <v/>
      </c>
      <c r="K438" s="39" t="str">
        <f>IF(E438="", "", IFERROR(VLOOKUP(IFERROR(VLOOKUP(SUBSTITUTE(E438,"DS ","")&amp;F438,#REF!, 2, 0), ""), user!$B:$D, 3, 0), ""))</f>
        <v/>
      </c>
    </row>
    <row r="439" spans="10:11" x14ac:dyDescent="0.25">
      <c r="J439" s="39"/>
      <c r="K439" s="39"/>
    </row>
    <row r="440" spans="10:11" x14ac:dyDescent="0.25">
      <c r="J440" s="39" t="str">
        <f>IF(E440="", "", IFERROR(VLOOKUP(IFERROR(VLOOKUP(SUBSTITUTE(E440,"DS ","")&amp;F440, wilayahfix!$A:$D, 2, 0), ""), user!$B:$D, 2, 0), "TIDAK KETEMU"))</f>
        <v/>
      </c>
      <c r="K440" s="39" t="str">
        <f>IF(E440="", "", IFERROR(VLOOKUP(IFERROR(VLOOKUP(SUBSTITUTE(E440,"DS ","")&amp;F440,#REF!, 2, 0), ""), user!$B:$D, 3, 0), ""))</f>
        <v/>
      </c>
    </row>
    <row r="441" spans="10:11" x14ac:dyDescent="0.25">
      <c r="J441" s="39"/>
      <c r="K441" s="39"/>
    </row>
    <row r="442" spans="10:11" x14ac:dyDescent="0.25">
      <c r="J442" s="39" t="str">
        <f>IF(E442="", "", IFERROR(VLOOKUP(IFERROR(VLOOKUP(SUBSTITUTE(E442,"DS ","")&amp;F442, wilayahfix!$A:$D, 2, 0), ""), user!$B:$D, 2, 0), "TIDAK KETEMU"))</f>
        <v/>
      </c>
      <c r="K442" s="39" t="str">
        <f>IF(E442="", "", IFERROR(VLOOKUP(IFERROR(VLOOKUP(SUBSTITUTE(E442,"DS ","")&amp;F442,#REF!, 2, 0), ""), user!$B:$D, 3, 0), ""))</f>
        <v/>
      </c>
    </row>
    <row r="443" spans="10:11" x14ac:dyDescent="0.25">
      <c r="J443" s="39"/>
      <c r="K443" s="39"/>
    </row>
    <row r="444" spans="10:11" x14ac:dyDescent="0.25">
      <c r="J444" s="39" t="str">
        <f>IF(E444="", "", IFERROR(VLOOKUP(IFERROR(VLOOKUP(SUBSTITUTE(E444,"DS ","")&amp;F444, wilayahfix!$A:$D, 2, 0), ""), user!$B:$D, 2, 0), "TIDAK KETEMU"))</f>
        <v/>
      </c>
      <c r="K444" s="39" t="str">
        <f>IF(E444="", "", IFERROR(VLOOKUP(IFERROR(VLOOKUP(SUBSTITUTE(E444,"DS ","")&amp;F444,#REF!, 2, 0), ""), user!$B:$D, 3, 0), ""))</f>
        <v/>
      </c>
    </row>
    <row r="445" spans="10:11" x14ac:dyDescent="0.25">
      <c r="J445" s="39"/>
      <c r="K445" s="39"/>
    </row>
    <row r="446" spans="10:11" x14ac:dyDescent="0.25">
      <c r="J446" s="39" t="str">
        <f>IF(E446="", "", IFERROR(VLOOKUP(IFERROR(VLOOKUP(SUBSTITUTE(E446,"DS ","")&amp;F446, wilayahfix!$A:$D, 2, 0), ""), user!$B:$D, 2, 0), "TIDAK KETEMU"))</f>
        <v/>
      </c>
      <c r="K446" s="39" t="str">
        <f>IF(E446="", "", IFERROR(VLOOKUP(IFERROR(VLOOKUP(SUBSTITUTE(E446,"DS ","")&amp;F446,#REF!, 2, 0), ""), user!$B:$D, 3, 0), ""))</f>
        <v/>
      </c>
    </row>
    <row r="447" spans="10:11" x14ac:dyDescent="0.25">
      <c r="J447" s="39"/>
      <c r="K447" s="39"/>
    </row>
    <row r="448" spans="10:11" x14ac:dyDescent="0.25">
      <c r="J448" s="39" t="str">
        <f>IF(E448="", "", IFERROR(VLOOKUP(IFERROR(VLOOKUP(SUBSTITUTE(E448,"DS ","")&amp;F448, wilayahfix!$A:$D, 2, 0), ""), user!$B:$D, 2, 0), "TIDAK KETEMU"))</f>
        <v/>
      </c>
      <c r="K448" s="39" t="str">
        <f>IF(E448="", "", IFERROR(VLOOKUP(IFERROR(VLOOKUP(SUBSTITUTE(E448,"DS ","")&amp;F448,#REF!, 2, 0), ""), user!$B:$D, 3, 0), ""))</f>
        <v/>
      </c>
    </row>
    <row r="449" spans="10:11" x14ac:dyDescent="0.25">
      <c r="J449" s="39"/>
      <c r="K449" s="39"/>
    </row>
    <row r="450" spans="10:11" x14ac:dyDescent="0.25">
      <c r="J450" s="39" t="str">
        <f>IF(E450="", "", IFERROR(VLOOKUP(IFERROR(VLOOKUP(SUBSTITUTE(E450,"DS ","")&amp;F450, wilayahfix!$A:$D, 2, 0), ""), user!$B:$D, 2, 0), "TIDAK KETEMU"))</f>
        <v/>
      </c>
      <c r="K450" s="39" t="str">
        <f>IF(E450="", "", IFERROR(VLOOKUP(IFERROR(VLOOKUP(SUBSTITUTE(E450,"DS ","")&amp;F450,#REF!, 2, 0), ""), user!$B:$D, 3, 0), ""))</f>
        <v/>
      </c>
    </row>
    <row r="451" spans="10:11" x14ac:dyDescent="0.25">
      <c r="J451" s="39"/>
      <c r="K451" s="39"/>
    </row>
    <row r="452" spans="10:11" x14ac:dyDescent="0.25">
      <c r="J452" s="39" t="str">
        <f>IF(E452="", "", IFERROR(VLOOKUP(IFERROR(VLOOKUP(SUBSTITUTE(E452,"DS ","")&amp;F452, wilayahfix!$A:$D, 2, 0), ""), user!$B:$D, 2, 0), "TIDAK KETEMU"))</f>
        <v/>
      </c>
      <c r="K452" s="39" t="str">
        <f>IF(E452="", "", IFERROR(VLOOKUP(IFERROR(VLOOKUP(SUBSTITUTE(E452,"DS ","")&amp;F452,#REF!, 2, 0), ""), user!$B:$D, 3, 0), ""))</f>
        <v/>
      </c>
    </row>
    <row r="453" spans="10:11" x14ac:dyDescent="0.25">
      <c r="J453" s="39"/>
      <c r="K453" s="39"/>
    </row>
    <row r="454" spans="10:11" x14ac:dyDescent="0.25">
      <c r="J454" s="39" t="str">
        <f>IF(E454="", "", IFERROR(VLOOKUP(IFERROR(VLOOKUP(SUBSTITUTE(E454,"DS ","")&amp;F454, wilayahfix!$A:$D, 2, 0), ""), user!$B:$D, 2, 0), "TIDAK KETEMU"))</f>
        <v/>
      </c>
      <c r="K454" s="39" t="str">
        <f>IF(E454="", "", IFERROR(VLOOKUP(IFERROR(VLOOKUP(SUBSTITUTE(E454,"DS ","")&amp;F454,#REF!, 2, 0), ""), user!$B:$D, 3, 0), ""))</f>
        <v/>
      </c>
    </row>
    <row r="455" spans="10:11" x14ac:dyDescent="0.25">
      <c r="J455" s="39"/>
      <c r="K455" s="39"/>
    </row>
    <row r="456" spans="10:11" x14ac:dyDescent="0.25">
      <c r="J456" s="39" t="str">
        <f>IF(E456="", "", IFERROR(VLOOKUP(IFERROR(VLOOKUP(SUBSTITUTE(E456,"DS ","")&amp;F456, wilayahfix!$A:$D, 2, 0), ""), user!$B:$D, 2, 0), "TIDAK KETEMU"))</f>
        <v/>
      </c>
      <c r="K456" s="39" t="str">
        <f>IF(E456="", "", IFERROR(VLOOKUP(IFERROR(VLOOKUP(SUBSTITUTE(E456,"DS ","")&amp;F456,#REF!, 2, 0), ""), user!$B:$D, 3, 0), ""))</f>
        <v/>
      </c>
    </row>
    <row r="457" spans="10:11" x14ac:dyDescent="0.25">
      <c r="J457" s="39"/>
      <c r="K457" s="39"/>
    </row>
    <row r="458" spans="10:11" x14ac:dyDescent="0.25">
      <c r="J458" s="39" t="str">
        <f>IF(E458="", "", IFERROR(VLOOKUP(IFERROR(VLOOKUP(SUBSTITUTE(E458,"DS ","")&amp;F458, wilayahfix!$A:$D, 2, 0), ""), user!$B:$D, 2, 0), "TIDAK KETEMU"))</f>
        <v/>
      </c>
      <c r="K458" s="39" t="str">
        <f>IF(E458="", "", IFERROR(VLOOKUP(IFERROR(VLOOKUP(SUBSTITUTE(E458,"DS ","")&amp;F458,#REF!, 2, 0), ""), user!$B:$D, 3, 0), ""))</f>
        <v/>
      </c>
    </row>
    <row r="459" spans="10:11" x14ac:dyDescent="0.25">
      <c r="J459" s="39"/>
      <c r="K459" s="39"/>
    </row>
    <row r="460" spans="10:11" x14ac:dyDescent="0.25">
      <c r="J460" s="39" t="str">
        <f>IF(E460="", "", IFERROR(VLOOKUP(IFERROR(VLOOKUP(SUBSTITUTE(E460,"DS ","")&amp;F460, wilayahfix!$A:$D, 2, 0), ""), user!$B:$D, 2, 0), "TIDAK KETEMU"))</f>
        <v/>
      </c>
      <c r="K460" s="39" t="str">
        <f>IF(E460="", "", IFERROR(VLOOKUP(IFERROR(VLOOKUP(SUBSTITUTE(E460,"DS ","")&amp;F460,#REF!, 2, 0), ""), user!$B:$D, 3, 0), ""))</f>
        <v/>
      </c>
    </row>
    <row r="461" spans="10:11" x14ac:dyDescent="0.25">
      <c r="J461" s="39"/>
      <c r="K461" s="39"/>
    </row>
    <row r="462" spans="10:11" x14ac:dyDescent="0.25">
      <c r="J462" s="39" t="str">
        <f>IF(E462="", "", IFERROR(VLOOKUP(IFERROR(VLOOKUP(SUBSTITUTE(E462,"DS ","")&amp;F462, wilayahfix!$A:$D, 2, 0), ""), user!$B:$D, 2, 0), "TIDAK KETEMU"))</f>
        <v/>
      </c>
      <c r="K462" s="39" t="str">
        <f>IF(E462="", "", IFERROR(VLOOKUP(IFERROR(VLOOKUP(SUBSTITUTE(E462,"DS ","")&amp;F462,#REF!, 2, 0), ""), user!$B:$D, 3, 0), ""))</f>
        <v/>
      </c>
    </row>
    <row r="463" spans="10:11" x14ac:dyDescent="0.25">
      <c r="J463" s="39"/>
      <c r="K463" s="39"/>
    </row>
    <row r="464" spans="10:11" x14ac:dyDescent="0.25">
      <c r="J464" s="39" t="str">
        <f>IF(E464="", "", IFERROR(VLOOKUP(IFERROR(VLOOKUP(SUBSTITUTE(E464,"DS ","")&amp;F464, wilayahfix!$A:$D, 2, 0), ""), user!$B:$D, 2, 0), "TIDAK KETEMU"))</f>
        <v/>
      </c>
      <c r="K464" s="39" t="str">
        <f>IF(E464="", "", IFERROR(VLOOKUP(IFERROR(VLOOKUP(SUBSTITUTE(E464,"DS ","")&amp;F464,#REF!, 2, 0), ""), user!$B:$D, 3, 0), ""))</f>
        <v/>
      </c>
    </row>
    <row r="465" spans="10:11" x14ac:dyDescent="0.25">
      <c r="J465" s="39"/>
      <c r="K465" s="39"/>
    </row>
    <row r="466" spans="10:11" x14ac:dyDescent="0.25">
      <c r="J466" s="39" t="str">
        <f>IF(E466="", "", IFERROR(VLOOKUP(IFERROR(VLOOKUP(SUBSTITUTE(E466,"DS ","")&amp;F466, wilayahfix!$A:$D, 2, 0), ""), user!$B:$D, 2, 0), "TIDAK KETEMU"))</f>
        <v/>
      </c>
      <c r="K466" s="39" t="str">
        <f>IF(E466="", "", IFERROR(VLOOKUP(IFERROR(VLOOKUP(SUBSTITUTE(E466,"DS ","")&amp;F466,#REF!, 2, 0), ""), user!$B:$D, 3, 0), ""))</f>
        <v/>
      </c>
    </row>
    <row r="467" spans="10:11" x14ac:dyDescent="0.25">
      <c r="J467" s="39"/>
      <c r="K467" s="39"/>
    </row>
    <row r="468" spans="10:11" x14ac:dyDescent="0.25">
      <c r="J468" s="39" t="str">
        <f>IF(E468="", "", IFERROR(VLOOKUP(IFERROR(VLOOKUP(SUBSTITUTE(E468,"DS ","")&amp;F468, wilayahfix!$A:$D, 2, 0), ""), user!$B:$D, 2, 0), "TIDAK KETEMU"))</f>
        <v/>
      </c>
      <c r="K468" s="39" t="str">
        <f>IF(E468="", "", IFERROR(VLOOKUP(IFERROR(VLOOKUP(SUBSTITUTE(E468,"DS ","")&amp;F468,#REF!, 2, 0), ""), user!$B:$D, 3, 0), ""))</f>
        <v/>
      </c>
    </row>
    <row r="469" spans="10:11" x14ac:dyDescent="0.25">
      <c r="J469" s="39"/>
      <c r="K469" s="39"/>
    </row>
    <row r="470" spans="10:11" x14ac:dyDescent="0.25">
      <c r="J470" s="39" t="str">
        <f>IF(E470="", "", IFERROR(VLOOKUP(IFERROR(VLOOKUP(SUBSTITUTE(E470,"DS ","")&amp;F470, wilayahfix!$A:$D, 2, 0), ""), user!$B:$D, 2, 0), "TIDAK KETEMU"))</f>
        <v/>
      </c>
      <c r="K470" s="39" t="str">
        <f>IF(E470="", "", IFERROR(VLOOKUP(IFERROR(VLOOKUP(SUBSTITUTE(E470,"DS ","")&amp;F470,#REF!, 2, 0), ""), user!$B:$D, 3, 0), ""))</f>
        <v/>
      </c>
    </row>
    <row r="471" spans="10:11" x14ac:dyDescent="0.25">
      <c r="J471" s="39"/>
      <c r="K471" s="39"/>
    </row>
    <row r="472" spans="10:11" x14ac:dyDescent="0.25">
      <c r="J472" s="39" t="str">
        <f>IF(E472="", "", IFERROR(VLOOKUP(IFERROR(VLOOKUP(SUBSTITUTE(E472,"DS ","")&amp;F472, wilayahfix!$A:$D, 2, 0), ""), user!$B:$D, 2, 0), "TIDAK KETEMU"))</f>
        <v/>
      </c>
      <c r="K472" s="39" t="str">
        <f>IF(E472="", "", IFERROR(VLOOKUP(IFERROR(VLOOKUP(SUBSTITUTE(E472,"DS ","")&amp;F472,#REF!, 2, 0), ""), user!$B:$D, 3, 0), ""))</f>
        <v/>
      </c>
    </row>
    <row r="473" spans="10:11" x14ac:dyDescent="0.25">
      <c r="J473" s="39"/>
      <c r="K473" s="39"/>
    </row>
    <row r="474" spans="10:11" x14ac:dyDescent="0.25">
      <c r="J474" s="39" t="str">
        <f>IF(E474="", "", IFERROR(VLOOKUP(IFERROR(VLOOKUP(SUBSTITUTE(E474,"DS ","")&amp;F474, wilayahfix!$A:$D, 2, 0), ""), user!$B:$D, 2, 0), "TIDAK KETEMU"))</f>
        <v/>
      </c>
      <c r="K474" s="39" t="str">
        <f>IF(E474="", "", IFERROR(VLOOKUP(IFERROR(VLOOKUP(SUBSTITUTE(E474,"DS ","")&amp;F474,#REF!, 2, 0), ""), user!$B:$D, 3, 0), ""))</f>
        <v/>
      </c>
    </row>
    <row r="475" spans="10:11" x14ac:dyDescent="0.25">
      <c r="J475" s="39"/>
      <c r="K475" s="39"/>
    </row>
    <row r="476" spans="10:11" x14ac:dyDescent="0.25">
      <c r="J476" s="39" t="str">
        <f>IF(E476="", "", IFERROR(VLOOKUP(IFERROR(VLOOKUP(SUBSTITUTE(E476,"DS ","")&amp;F476, wilayahfix!$A:$D, 2, 0), ""), user!$B:$D, 2, 0), "TIDAK KETEMU"))</f>
        <v/>
      </c>
      <c r="K476" s="39" t="str">
        <f>IF(E476="", "", IFERROR(VLOOKUP(IFERROR(VLOOKUP(SUBSTITUTE(E476,"DS ","")&amp;F476,#REF!, 2, 0), ""), user!$B:$D, 3, 0), ""))</f>
        <v/>
      </c>
    </row>
    <row r="477" spans="10:11" x14ac:dyDescent="0.25">
      <c r="J477" s="39"/>
      <c r="K477" s="39"/>
    </row>
    <row r="478" spans="10:11" x14ac:dyDescent="0.25">
      <c r="J478" s="39" t="str">
        <f>IF(E478="", "", IFERROR(VLOOKUP(IFERROR(VLOOKUP(SUBSTITUTE(E478,"DS ","")&amp;F478, wilayahfix!$A:$D, 2, 0), ""), user!$B:$D, 2, 0), "TIDAK KETEMU"))</f>
        <v/>
      </c>
      <c r="K478" s="39" t="str">
        <f>IF(E478="", "", IFERROR(VLOOKUP(IFERROR(VLOOKUP(SUBSTITUTE(E478,"DS ","")&amp;F478,#REF!, 2, 0), ""), user!$B:$D, 3, 0), ""))</f>
        <v/>
      </c>
    </row>
    <row r="479" spans="10:11" x14ac:dyDescent="0.25">
      <c r="J479" s="39"/>
      <c r="K479" s="39"/>
    </row>
    <row r="480" spans="10:11" x14ac:dyDescent="0.25">
      <c r="J480" s="39" t="str">
        <f>IF(E480="", "", IFERROR(VLOOKUP(IFERROR(VLOOKUP(SUBSTITUTE(E480,"DS ","")&amp;F480, wilayahfix!$A:$D, 2, 0), ""), user!$B:$D, 2, 0), "TIDAK KETEMU"))</f>
        <v/>
      </c>
      <c r="K480" s="39" t="str">
        <f>IF(E480="", "", IFERROR(VLOOKUP(IFERROR(VLOOKUP(SUBSTITUTE(E480,"DS ","")&amp;F480,#REF!, 2, 0), ""), user!$B:$D, 3, 0), ""))</f>
        <v/>
      </c>
    </row>
    <row r="481" spans="10:11" x14ac:dyDescent="0.25">
      <c r="J481" s="39"/>
      <c r="K481" s="39"/>
    </row>
    <row r="482" spans="10:11" x14ac:dyDescent="0.25">
      <c r="J482" s="39" t="str">
        <f>IF(E482="", "", IFERROR(VLOOKUP(IFERROR(VLOOKUP(SUBSTITUTE(E482,"DS ","")&amp;F482, wilayahfix!$A:$D, 2, 0), ""), user!$B:$D, 2, 0), "TIDAK KETEMU"))</f>
        <v/>
      </c>
      <c r="K482" s="39" t="str">
        <f>IF(E482="", "", IFERROR(VLOOKUP(IFERROR(VLOOKUP(SUBSTITUTE(E482,"DS ","")&amp;F482,#REF!, 2, 0), ""), user!$B:$D, 3, 0), ""))</f>
        <v/>
      </c>
    </row>
    <row r="483" spans="10:11" x14ac:dyDescent="0.25">
      <c r="J483" s="39"/>
      <c r="K483" s="39"/>
    </row>
    <row r="484" spans="10:11" x14ac:dyDescent="0.25">
      <c r="J484" s="39" t="str">
        <f>IF(E484="", "", IFERROR(VLOOKUP(IFERROR(VLOOKUP(SUBSTITUTE(E484,"DS ","")&amp;F484, wilayahfix!$A:$D, 2, 0), ""), user!$B:$D, 2, 0), "TIDAK KETEMU"))</f>
        <v/>
      </c>
      <c r="K484" s="39" t="str">
        <f>IF(E484="", "", IFERROR(VLOOKUP(IFERROR(VLOOKUP(SUBSTITUTE(E484,"DS ","")&amp;F484,#REF!, 2, 0), ""), user!$B:$D, 3, 0), ""))</f>
        <v/>
      </c>
    </row>
    <row r="485" spans="10:11" x14ac:dyDescent="0.25">
      <c r="J485" s="39"/>
      <c r="K485" s="39"/>
    </row>
    <row r="486" spans="10:11" x14ac:dyDescent="0.25">
      <c r="J486" s="39" t="str">
        <f>IF(E486="", "", IFERROR(VLOOKUP(IFERROR(VLOOKUP(SUBSTITUTE(E486,"DS ","")&amp;F486, wilayahfix!$A:$D, 2, 0), ""), user!$B:$D, 2, 0), "TIDAK KETEMU"))</f>
        <v/>
      </c>
      <c r="K486" s="39" t="str">
        <f>IF(E486="", "", IFERROR(VLOOKUP(IFERROR(VLOOKUP(SUBSTITUTE(E486,"DS ","")&amp;F486,#REF!, 2, 0), ""), user!$B:$D, 3, 0), ""))</f>
        <v/>
      </c>
    </row>
    <row r="487" spans="10:11" x14ac:dyDescent="0.25">
      <c r="J487" s="39"/>
      <c r="K487" s="39"/>
    </row>
    <row r="488" spans="10:11" x14ac:dyDescent="0.25">
      <c r="J488" s="39" t="str">
        <f>IF(E488="", "", IFERROR(VLOOKUP(IFERROR(VLOOKUP(SUBSTITUTE(E488,"DS ","")&amp;F488, wilayahfix!$A:$D, 2, 0), ""), user!$B:$D, 2, 0), "TIDAK KETEMU"))</f>
        <v/>
      </c>
      <c r="K488" s="39" t="str">
        <f>IF(E488="", "", IFERROR(VLOOKUP(IFERROR(VLOOKUP(SUBSTITUTE(E488,"DS ","")&amp;F488,#REF!, 2, 0), ""), user!$B:$D, 3, 0), ""))</f>
        <v/>
      </c>
    </row>
    <row r="489" spans="10:11" x14ac:dyDescent="0.25">
      <c r="J489" s="39"/>
      <c r="K489" s="39"/>
    </row>
    <row r="490" spans="10:11" x14ac:dyDescent="0.25">
      <c r="J490" s="39" t="str">
        <f>IF(E490="", "", IFERROR(VLOOKUP(IFERROR(VLOOKUP(SUBSTITUTE(E490,"DS ","")&amp;F490, wilayahfix!$A:$D, 2, 0), ""), user!$B:$D, 2, 0), "TIDAK KETEMU"))</f>
        <v/>
      </c>
      <c r="K490" s="39" t="str">
        <f>IF(E490="", "", IFERROR(VLOOKUP(IFERROR(VLOOKUP(SUBSTITUTE(E490,"DS ","")&amp;F490,#REF!, 2, 0), ""), user!$B:$D, 3, 0), ""))</f>
        <v/>
      </c>
    </row>
    <row r="491" spans="10:11" x14ac:dyDescent="0.25">
      <c r="J491" s="39"/>
      <c r="K491" s="39"/>
    </row>
    <row r="492" spans="10:11" x14ac:dyDescent="0.25">
      <c r="J492" s="39" t="str">
        <f>IF(E492="", "", IFERROR(VLOOKUP(IFERROR(VLOOKUP(SUBSTITUTE(E492,"DS ","")&amp;F492, wilayahfix!$A:$D, 2, 0), ""), user!$B:$D, 2, 0), "TIDAK KETEMU"))</f>
        <v/>
      </c>
      <c r="K492" s="39" t="str">
        <f>IF(E492="", "", IFERROR(VLOOKUP(IFERROR(VLOOKUP(SUBSTITUTE(E492,"DS ","")&amp;F492,#REF!, 2, 0), ""), user!$B:$D, 3, 0), ""))</f>
        <v/>
      </c>
    </row>
    <row r="493" spans="10:11" x14ac:dyDescent="0.25">
      <c r="J493" s="39"/>
      <c r="K493" s="39"/>
    </row>
    <row r="494" spans="10:11" x14ac:dyDescent="0.25">
      <c r="J494" s="39" t="str">
        <f>IF(E494="", "", IFERROR(VLOOKUP(IFERROR(VLOOKUP(SUBSTITUTE(E494,"DS ","")&amp;F494, wilayahfix!$A:$D, 2, 0), ""), user!$B:$D, 2, 0), "TIDAK KETEMU"))</f>
        <v/>
      </c>
      <c r="K494" s="39" t="str">
        <f>IF(E494="", "", IFERROR(VLOOKUP(IFERROR(VLOOKUP(SUBSTITUTE(E494,"DS ","")&amp;F494,#REF!, 2, 0), ""), user!$B:$D, 3, 0), ""))</f>
        <v/>
      </c>
    </row>
    <row r="495" spans="10:11" x14ac:dyDescent="0.25">
      <c r="J495" s="39"/>
      <c r="K495" s="39"/>
    </row>
    <row r="496" spans="10:11" x14ac:dyDescent="0.25">
      <c r="J496" s="39" t="str">
        <f>IF(E496="", "", IFERROR(VLOOKUP(IFERROR(VLOOKUP(SUBSTITUTE(E496,"DS ","")&amp;F496, wilayahfix!$A:$D, 2, 0), ""), user!$B:$D, 2, 0), "TIDAK KETEMU"))</f>
        <v/>
      </c>
      <c r="K496" s="39" t="str">
        <f>IF(E496="", "", IFERROR(VLOOKUP(IFERROR(VLOOKUP(SUBSTITUTE(E496,"DS ","")&amp;F496,#REF!, 2, 0), ""), user!$B:$D, 3, 0), ""))</f>
        <v/>
      </c>
    </row>
    <row r="497" spans="10:11" x14ac:dyDescent="0.25">
      <c r="J497" s="39"/>
      <c r="K497" s="39"/>
    </row>
    <row r="498" spans="10:11" x14ac:dyDescent="0.25">
      <c r="J498" s="39" t="str">
        <f>IF(E498="", "", IFERROR(VLOOKUP(IFERROR(VLOOKUP(SUBSTITUTE(E498,"DS ","")&amp;F498, wilayahfix!$A:$D, 2, 0), ""), user!$B:$D, 2, 0), "TIDAK KETEMU"))</f>
        <v/>
      </c>
      <c r="K498" s="39" t="str">
        <f>IF(E498="", "", IFERROR(VLOOKUP(IFERROR(VLOOKUP(SUBSTITUTE(E498,"DS ","")&amp;F498,#REF!, 2, 0), ""), user!$B:$D, 3, 0), ""))</f>
        <v/>
      </c>
    </row>
    <row r="499" spans="10:11" x14ac:dyDescent="0.25">
      <c r="J499" s="39"/>
      <c r="K499" s="39"/>
    </row>
    <row r="500" spans="10:11" x14ac:dyDescent="0.25">
      <c r="J500" s="39" t="str">
        <f>IF(E500="", "", IFERROR(VLOOKUP(IFERROR(VLOOKUP(SUBSTITUTE(E500,"DS ","")&amp;F500, wilayahfix!$A:$D, 2, 0), ""), user!$B:$D, 2, 0), "TIDAK KETEMU"))</f>
        <v/>
      </c>
      <c r="K500" s="39" t="str">
        <f>IF(E500="", "", IFERROR(VLOOKUP(IFERROR(VLOOKUP(SUBSTITUTE(E500,"DS ","")&amp;F500,#REF!, 2, 0), ""), user!$B:$D, 3, 0), ""))</f>
        <v/>
      </c>
    </row>
    <row r="501" spans="10:11" x14ac:dyDescent="0.25">
      <c r="J501" s="39"/>
      <c r="K501" s="39"/>
    </row>
    <row r="502" spans="10:11" x14ac:dyDescent="0.25">
      <c r="J502" s="39" t="str">
        <f>IF(E502="", "", IFERROR(VLOOKUP(IFERROR(VLOOKUP(SUBSTITUTE(E502,"DS ","")&amp;F502, wilayahfix!$A:$D, 2, 0), ""), user!$B:$D, 2, 0), "TIDAK KETEMU"))</f>
        <v/>
      </c>
      <c r="K502" s="39" t="str">
        <f>IF(E502="", "", IFERROR(VLOOKUP(IFERROR(VLOOKUP(SUBSTITUTE(E502,"DS ","")&amp;F502,#REF!, 2, 0), ""), user!$B:$D, 3, 0), ""))</f>
        <v/>
      </c>
    </row>
    <row r="503" spans="10:11" x14ac:dyDescent="0.25">
      <c r="J503" s="39"/>
      <c r="K503" s="39"/>
    </row>
    <row r="504" spans="10:11" x14ac:dyDescent="0.25">
      <c r="K504" s="39" t="str">
        <f>IF(E504="", "", IFERROR(VLOOKUP(IFERROR(VLOOKUP(SUBSTITUTE(E504,"DS ","")&amp;F504,#REF!, 2, 0), ""), user!$B:$D, 3, 0), ""))</f>
        <v/>
      </c>
    </row>
    <row r="505" spans="10:11" x14ac:dyDescent="0.25">
      <c r="K505" s="39"/>
    </row>
  </sheetData>
  <mergeCells count="607">
    <mergeCell ref="K496:K497"/>
    <mergeCell ref="K498:K499"/>
    <mergeCell ref="K500:K501"/>
    <mergeCell ref="K502:K503"/>
    <mergeCell ref="K504:K505"/>
    <mergeCell ref="K486:K487"/>
    <mergeCell ref="K488:K489"/>
    <mergeCell ref="K490:K491"/>
    <mergeCell ref="K492:K493"/>
    <mergeCell ref="K494:K495"/>
    <mergeCell ref="K476:K477"/>
    <mergeCell ref="K478:K479"/>
    <mergeCell ref="K480:K481"/>
    <mergeCell ref="K482:K483"/>
    <mergeCell ref="K484:K485"/>
    <mergeCell ref="K466:K467"/>
    <mergeCell ref="K468:K469"/>
    <mergeCell ref="K470:K471"/>
    <mergeCell ref="K472:K473"/>
    <mergeCell ref="K474:K475"/>
    <mergeCell ref="K456:K457"/>
    <mergeCell ref="K458:K459"/>
    <mergeCell ref="K460:K461"/>
    <mergeCell ref="K462:K463"/>
    <mergeCell ref="K464:K465"/>
    <mergeCell ref="K446:K447"/>
    <mergeCell ref="K448:K449"/>
    <mergeCell ref="K450:K451"/>
    <mergeCell ref="K452:K453"/>
    <mergeCell ref="K454:K455"/>
    <mergeCell ref="K436:K437"/>
    <mergeCell ref="K438:K439"/>
    <mergeCell ref="K440:K441"/>
    <mergeCell ref="K442:K443"/>
    <mergeCell ref="K444:K445"/>
    <mergeCell ref="K426:K427"/>
    <mergeCell ref="K428:K429"/>
    <mergeCell ref="K430:K431"/>
    <mergeCell ref="K432:K433"/>
    <mergeCell ref="K434:K435"/>
    <mergeCell ref="K416:K417"/>
    <mergeCell ref="K418:K419"/>
    <mergeCell ref="K420:K421"/>
    <mergeCell ref="K422:K423"/>
    <mergeCell ref="K424:K425"/>
    <mergeCell ref="K406:K407"/>
    <mergeCell ref="K408:K409"/>
    <mergeCell ref="K410:K411"/>
    <mergeCell ref="K412:K413"/>
    <mergeCell ref="K414:K415"/>
    <mergeCell ref="K396:K397"/>
    <mergeCell ref="K398:K399"/>
    <mergeCell ref="K400:K401"/>
    <mergeCell ref="K402:K403"/>
    <mergeCell ref="K404:K405"/>
    <mergeCell ref="K386:K387"/>
    <mergeCell ref="K388:K389"/>
    <mergeCell ref="K390:K391"/>
    <mergeCell ref="K392:K393"/>
    <mergeCell ref="K394:K395"/>
    <mergeCell ref="K376:K377"/>
    <mergeCell ref="K378:K379"/>
    <mergeCell ref="K380:K381"/>
    <mergeCell ref="K382:K383"/>
    <mergeCell ref="K384:K385"/>
    <mergeCell ref="K366:K367"/>
    <mergeCell ref="K368:K369"/>
    <mergeCell ref="K370:K371"/>
    <mergeCell ref="K372:K373"/>
    <mergeCell ref="K374:K375"/>
    <mergeCell ref="K356:K357"/>
    <mergeCell ref="K358:K359"/>
    <mergeCell ref="K360:K361"/>
    <mergeCell ref="K362:K363"/>
    <mergeCell ref="K364:K365"/>
    <mergeCell ref="K346:K347"/>
    <mergeCell ref="K348:K349"/>
    <mergeCell ref="K350:K351"/>
    <mergeCell ref="K352:K353"/>
    <mergeCell ref="K354:K355"/>
    <mergeCell ref="K336:K337"/>
    <mergeCell ref="K338:K339"/>
    <mergeCell ref="K340:K341"/>
    <mergeCell ref="K342:K343"/>
    <mergeCell ref="K344:K345"/>
    <mergeCell ref="K326:K327"/>
    <mergeCell ref="K328:K329"/>
    <mergeCell ref="K330:K331"/>
    <mergeCell ref="K332:K333"/>
    <mergeCell ref="K334:K335"/>
    <mergeCell ref="K316:K317"/>
    <mergeCell ref="K318:K319"/>
    <mergeCell ref="K320:K321"/>
    <mergeCell ref="K322:K323"/>
    <mergeCell ref="K324:K325"/>
    <mergeCell ref="K304:K305"/>
    <mergeCell ref="K306:K307"/>
    <mergeCell ref="K308:K309"/>
    <mergeCell ref="K310:K311"/>
    <mergeCell ref="K312:K313"/>
    <mergeCell ref="K314:K315"/>
    <mergeCell ref="K296:K297"/>
    <mergeCell ref="K298:K299"/>
    <mergeCell ref="K300:K301"/>
    <mergeCell ref="K302:K303"/>
    <mergeCell ref="K286:K287"/>
    <mergeCell ref="K288:K289"/>
    <mergeCell ref="K290:K291"/>
    <mergeCell ref="K292:K293"/>
    <mergeCell ref="K294:K295"/>
    <mergeCell ref="K276:K277"/>
    <mergeCell ref="K278:K279"/>
    <mergeCell ref="K280:K281"/>
    <mergeCell ref="K282:K283"/>
    <mergeCell ref="K284:K285"/>
    <mergeCell ref="K266:K267"/>
    <mergeCell ref="K268:K269"/>
    <mergeCell ref="K270:K271"/>
    <mergeCell ref="K272:K273"/>
    <mergeCell ref="K274:K275"/>
    <mergeCell ref="K256:K257"/>
    <mergeCell ref="K258:K259"/>
    <mergeCell ref="K260:K261"/>
    <mergeCell ref="K262:K263"/>
    <mergeCell ref="K264:K265"/>
    <mergeCell ref="K246:K247"/>
    <mergeCell ref="K248:K249"/>
    <mergeCell ref="K250:K251"/>
    <mergeCell ref="K252:K253"/>
    <mergeCell ref="K254:K255"/>
    <mergeCell ref="K236:K237"/>
    <mergeCell ref="K238:K239"/>
    <mergeCell ref="K240:K241"/>
    <mergeCell ref="K242:K243"/>
    <mergeCell ref="K244:K245"/>
    <mergeCell ref="K226:K227"/>
    <mergeCell ref="K228:K229"/>
    <mergeCell ref="K230:K231"/>
    <mergeCell ref="K232:K233"/>
    <mergeCell ref="K234:K235"/>
    <mergeCell ref="K216:K217"/>
    <mergeCell ref="K218:K219"/>
    <mergeCell ref="K220:K221"/>
    <mergeCell ref="K222:K223"/>
    <mergeCell ref="K224:K225"/>
    <mergeCell ref="K206:K207"/>
    <mergeCell ref="K208:K209"/>
    <mergeCell ref="K210:K211"/>
    <mergeCell ref="K212:K213"/>
    <mergeCell ref="K214:K215"/>
    <mergeCell ref="J494:J495"/>
    <mergeCell ref="J496:J497"/>
    <mergeCell ref="J498:J499"/>
    <mergeCell ref="J500:J501"/>
    <mergeCell ref="J502:J503"/>
    <mergeCell ref="J484:J485"/>
    <mergeCell ref="J486:J487"/>
    <mergeCell ref="J488:J489"/>
    <mergeCell ref="J490:J491"/>
    <mergeCell ref="J492:J493"/>
    <mergeCell ref="J474:J475"/>
    <mergeCell ref="J476:J477"/>
    <mergeCell ref="J478:J479"/>
    <mergeCell ref="J480:J481"/>
    <mergeCell ref="J482:J483"/>
    <mergeCell ref="J464:J465"/>
    <mergeCell ref="J466:J467"/>
    <mergeCell ref="J468:J469"/>
    <mergeCell ref="J470:J471"/>
    <mergeCell ref="J472:J473"/>
    <mergeCell ref="J454:J455"/>
    <mergeCell ref="J456:J457"/>
    <mergeCell ref="J458:J459"/>
    <mergeCell ref="J460:J461"/>
    <mergeCell ref="J462:J463"/>
    <mergeCell ref="J444:J445"/>
    <mergeCell ref="J446:J447"/>
    <mergeCell ref="J448:J449"/>
    <mergeCell ref="J450:J451"/>
    <mergeCell ref="J452:J453"/>
    <mergeCell ref="J434:J435"/>
    <mergeCell ref="J436:J437"/>
    <mergeCell ref="J438:J439"/>
    <mergeCell ref="J440:J441"/>
    <mergeCell ref="J442:J443"/>
    <mergeCell ref="J424:J425"/>
    <mergeCell ref="J426:J427"/>
    <mergeCell ref="J428:J429"/>
    <mergeCell ref="J430:J431"/>
    <mergeCell ref="J432:J433"/>
    <mergeCell ref="J414:J415"/>
    <mergeCell ref="J416:J417"/>
    <mergeCell ref="J418:J419"/>
    <mergeCell ref="J420:J421"/>
    <mergeCell ref="J422:J423"/>
    <mergeCell ref="J404:J405"/>
    <mergeCell ref="J406:J407"/>
    <mergeCell ref="J408:J409"/>
    <mergeCell ref="J410:J411"/>
    <mergeCell ref="J412:J413"/>
    <mergeCell ref="J394:J395"/>
    <mergeCell ref="J396:J397"/>
    <mergeCell ref="J398:J399"/>
    <mergeCell ref="J400:J401"/>
    <mergeCell ref="J402:J403"/>
    <mergeCell ref="J386:J387"/>
    <mergeCell ref="J388:J389"/>
    <mergeCell ref="J390:J391"/>
    <mergeCell ref="J392:J393"/>
    <mergeCell ref="J376:J377"/>
    <mergeCell ref="J378:J379"/>
    <mergeCell ref="J380:J381"/>
    <mergeCell ref="J382:J383"/>
    <mergeCell ref="J384:J385"/>
    <mergeCell ref="J366:J367"/>
    <mergeCell ref="J368:J369"/>
    <mergeCell ref="J370:J371"/>
    <mergeCell ref="J372:J373"/>
    <mergeCell ref="J374:J375"/>
    <mergeCell ref="J356:J357"/>
    <mergeCell ref="J358:J359"/>
    <mergeCell ref="J360:J361"/>
    <mergeCell ref="J362:J363"/>
    <mergeCell ref="J364:J365"/>
    <mergeCell ref="J346:J347"/>
    <mergeCell ref="J348:J349"/>
    <mergeCell ref="J350:J351"/>
    <mergeCell ref="J352:J353"/>
    <mergeCell ref="J354:J355"/>
    <mergeCell ref="J336:J337"/>
    <mergeCell ref="J338:J339"/>
    <mergeCell ref="J340:J341"/>
    <mergeCell ref="J342:J343"/>
    <mergeCell ref="J344:J345"/>
    <mergeCell ref="J326:J327"/>
    <mergeCell ref="J328:J329"/>
    <mergeCell ref="J330:J331"/>
    <mergeCell ref="J332:J333"/>
    <mergeCell ref="J334:J335"/>
    <mergeCell ref="J316:J317"/>
    <mergeCell ref="J318:J319"/>
    <mergeCell ref="J320:J321"/>
    <mergeCell ref="J322:J323"/>
    <mergeCell ref="J324:J325"/>
    <mergeCell ref="J306:J307"/>
    <mergeCell ref="J308:J309"/>
    <mergeCell ref="J310:J311"/>
    <mergeCell ref="J312:J313"/>
    <mergeCell ref="J314:J315"/>
    <mergeCell ref="J296:J297"/>
    <mergeCell ref="J298:J299"/>
    <mergeCell ref="J300:J301"/>
    <mergeCell ref="J302:J303"/>
    <mergeCell ref="J304:J305"/>
    <mergeCell ref="J286:J287"/>
    <mergeCell ref="J288:J289"/>
    <mergeCell ref="J290:J291"/>
    <mergeCell ref="J292:J293"/>
    <mergeCell ref="J294:J295"/>
    <mergeCell ref="J276:J277"/>
    <mergeCell ref="J278:J279"/>
    <mergeCell ref="J280:J281"/>
    <mergeCell ref="J282:J283"/>
    <mergeCell ref="J284:J285"/>
    <mergeCell ref="J266:J267"/>
    <mergeCell ref="J268:J269"/>
    <mergeCell ref="J270:J271"/>
    <mergeCell ref="J272:J273"/>
    <mergeCell ref="J274:J275"/>
    <mergeCell ref="J256:J257"/>
    <mergeCell ref="J258:J259"/>
    <mergeCell ref="J260:J261"/>
    <mergeCell ref="J262:J263"/>
    <mergeCell ref="J264:J265"/>
    <mergeCell ref="J246:J247"/>
    <mergeCell ref="J248:J249"/>
    <mergeCell ref="J250:J251"/>
    <mergeCell ref="J252:J253"/>
    <mergeCell ref="J254:J255"/>
    <mergeCell ref="J236:J237"/>
    <mergeCell ref="J238:J239"/>
    <mergeCell ref="J240:J241"/>
    <mergeCell ref="J242:J243"/>
    <mergeCell ref="J244:J245"/>
    <mergeCell ref="J226:J227"/>
    <mergeCell ref="J228:J229"/>
    <mergeCell ref="J230:J231"/>
    <mergeCell ref="J232:J233"/>
    <mergeCell ref="J234:J235"/>
    <mergeCell ref="J216:J217"/>
    <mergeCell ref="J218:J219"/>
    <mergeCell ref="J220:J221"/>
    <mergeCell ref="J222:J223"/>
    <mergeCell ref="J224:J225"/>
    <mergeCell ref="J206:J207"/>
    <mergeCell ref="J208:J209"/>
    <mergeCell ref="J210:J211"/>
    <mergeCell ref="J212:J213"/>
    <mergeCell ref="J214:J215"/>
    <mergeCell ref="K198:K199"/>
    <mergeCell ref="K200:K201"/>
    <mergeCell ref="J200:J201"/>
    <mergeCell ref="J202:J203"/>
    <mergeCell ref="J204:J205"/>
    <mergeCell ref="K202:K203"/>
    <mergeCell ref="K204:K205"/>
    <mergeCell ref="K188:K189"/>
    <mergeCell ref="K190:K191"/>
    <mergeCell ref="K192:K193"/>
    <mergeCell ref="K194:K195"/>
    <mergeCell ref="K196:K197"/>
    <mergeCell ref="J198:J199"/>
    <mergeCell ref="J190:J191"/>
    <mergeCell ref="J192:J193"/>
    <mergeCell ref="J194:J195"/>
    <mergeCell ref="J196:J197"/>
    <mergeCell ref="K178:K179"/>
    <mergeCell ref="K180:K181"/>
    <mergeCell ref="K182:K183"/>
    <mergeCell ref="K184:K185"/>
    <mergeCell ref="K186:K187"/>
    <mergeCell ref="K168:K169"/>
    <mergeCell ref="K170:K171"/>
    <mergeCell ref="K172:K173"/>
    <mergeCell ref="K174:K175"/>
    <mergeCell ref="K176:K177"/>
    <mergeCell ref="K158:K159"/>
    <mergeCell ref="K160:K161"/>
    <mergeCell ref="K162:K163"/>
    <mergeCell ref="K164:K165"/>
    <mergeCell ref="K166:K167"/>
    <mergeCell ref="K148:K149"/>
    <mergeCell ref="K150:K151"/>
    <mergeCell ref="K152:K153"/>
    <mergeCell ref="K154:K155"/>
    <mergeCell ref="K156:K157"/>
    <mergeCell ref="K138:K139"/>
    <mergeCell ref="K140:K141"/>
    <mergeCell ref="K142:K143"/>
    <mergeCell ref="K144:K145"/>
    <mergeCell ref="K146:K147"/>
    <mergeCell ref="K128:K129"/>
    <mergeCell ref="K130:K131"/>
    <mergeCell ref="K132:K133"/>
    <mergeCell ref="K134:K135"/>
    <mergeCell ref="K136:K137"/>
    <mergeCell ref="K118:K119"/>
    <mergeCell ref="K120:K121"/>
    <mergeCell ref="K122:K123"/>
    <mergeCell ref="K124:K125"/>
    <mergeCell ref="K126:K127"/>
    <mergeCell ref="K108:K109"/>
    <mergeCell ref="K110:K111"/>
    <mergeCell ref="K112:K113"/>
    <mergeCell ref="K114:K115"/>
    <mergeCell ref="K116:K117"/>
    <mergeCell ref="K98:K99"/>
    <mergeCell ref="K100:K101"/>
    <mergeCell ref="K102:K103"/>
    <mergeCell ref="K104:K105"/>
    <mergeCell ref="K106:K107"/>
    <mergeCell ref="K88:K89"/>
    <mergeCell ref="K90:K91"/>
    <mergeCell ref="K92:K93"/>
    <mergeCell ref="K94:K95"/>
    <mergeCell ref="K96:K97"/>
    <mergeCell ref="K78:K79"/>
    <mergeCell ref="K80:K81"/>
    <mergeCell ref="K82:K83"/>
    <mergeCell ref="K84:K85"/>
    <mergeCell ref="K86:K87"/>
    <mergeCell ref="K68:K69"/>
    <mergeCell ref="K70:K71"/>
    <mergeCell ref="K72:K73"/>
    <mergeCell ref="K74:K75"/>
    <mergeCell ref="K76:K77"/>
    <mergeCell ref="K58:K59"/>
    <mergeCell ref="K60:K61"/>
    <mergeCell ref="K62:K63"/>
    <mergeCell ref="K64:K65"/>
    <mergeCell ref="K66:K67"/>
    <mergeCell ref="K48:K49"/>
    <mergeCell ref="K50:K51"/>
    <mergeCell ref="K52:K53"/>
    <mergeCell ref="K54:K55"/>
    <mergeCell ref="K56:K57"/>
    <mergeCell ref="K38:K39"/>
    <mergeCell ref="K40:K41"/>
    <mergeCell ref="K42:K43"/>
    <mergeCell ref="K44:K45"/>
    <mergeCell ref="K46:K47"/>
    <mergeCell ref="K28:K29"/>
    <mergeCell ref="K30:K31"/>
    <mergeCell ref="K32:K33"/>
    <mergeCell ref="K34:K35"/>
    <mergeCell ref="K36:K37"/>
    <mergeCell ref="G26:G27"/>
    <mergeCell ref="H26:H27"/>
    <mergeCell ref="I26:I27"/>
    <mergeCell ref="K18:K19"/>
    <mergeCell ref="K20:K21"/>
    <mergeCell ref="K22:K23"/>
    <mergeCell ref="K24:K25"/>
    <mergeCell ref="K26:K27"/>
    <mergeCell ref="A26:A27"/>
    <mergeCell ref="B26:B27"/>
    <mergeCell ref="C26:C27"/>
    <mergeCell ref="E26:E27"/>
    <mergeCell ref="F26:F27"/>
    <mergeCell ref="G22:G23"/>
    <mergeCell ref="H22:H23"/>
    <mergeCell ref="I22:I23"/>
    <mergeCell ref="A24:A25"/>
    <mergeCell ref="B24:B25"/>
    <mergeCell ref="C24:C25"/>
    <mergeCell ref="E24:E25"/>
    <mergeCell ref="F24:F25"/>
    <mergeCell ref="G24:G25"/>
    <mergeCell ref="H24:H25"/>
    <mergeCell ref="I24:I25"/>
    <mergeCell ref="A22:A23"/>
    <mergeCell ref="B22:B23"/>
    <mergeCell ref="C22:C23"/>
    <mergeCell ref="E22:E23"/>
    <mergeCell ref="F22:F23"/>
    <mergeCell ref="G18:G19"/>
    <mergeCell ref="H18:H19"/>
    <mergeCell ref="I18:I19"/>
    <mergeCell ref="A20:A21"/>
    <mergeCell ref="B20:B21"/>
    <mergeCell ref="C20:C21"/>
    <mergeCell ref="E20:E21"/>
    <mergeCell ref="F20:F21"/>
    <mergeCell ref="G20:G21"/>
    <mergeCell ref="H20:H21"/>
    <mergeCell ref="I20:I21"/>
    <mergeCell ref="A18:A19"/>
    <mergeCell ref="B18:B19"/>
    <mergeCell ref="C18:C19"/>
    <mergeCell ref="E18:E19"/>
    <mergeCell ref="F18:F19"/>
    <mergeCell ref="I2:I3"/>
    <mergeCell ref="I4:I5"/>
    <mergeCell ref="I6:I7"/>
    <mergeCell ref="I8:I9"/>
    <mergeCell ref="I10:I11"/>
    <mergeCell ref="I12:I13"/>
    <mergeCell ref="I14:I15"/>
    <mergeCell ref="I16:I17"/>
    <mergeCell ref="J188:J189"/>
    <mergeCell ref="J178:J179"/>
    <mergeCell ref="J180:J181"/>
    <mergeCell ref="J182:J183"/>
    <mergeCell ref="J184:J185"/>
    <mergeCell ref="J186:J187"/>
    <mergeCell ref="J168:J169"/>
    <mergeCell ref="J170:J171"/>
    <mergeCell ref="J172:J173"/>
    <mergeCell ref="J174:J175"/>
    <mergeCell ref="J176:J177"/>
    <mergeCell ref="J158:J159"/>
    <mergeCell ref="J160:J161"/>
    <mergeCell ref="J162:J163"/>
    <mergeCell ref="J164:J165"/>
    <mergeCell ref="J166:J167"/>
    <mergeCell ref="J148:J149"/>
    <mergeCell ref="J150:J151"/>
    <mergeCell ref="J152:J153"/>
    <mergeCell ref="J154:J155"/>
    <mergeCell ref="J156:J157"/>
    <mergeCell ref="J138:J139"/>
    <mergeCell ref="J140:J141"/>
    <mergeCell ref="J142:J143"/>
    <mergeCell ref="J144:J145"/>
    <mergeCell ref="J146:J147"/>
    <mergeCell ref="J128:J129"/>
    <mergeCell ref="J130:J131"/>
    <mergeCell ref="J132:J133"/>
    <mergeCell ref="J134:J135"/>
    <mergeCell ref="J136:J137"/>
    <mergeCell ref="J118:J119"/>
    <mergeCell ref="J120:J121"/>
    <mergeCell ref="J122:J123"/>
    <mergeCell ref="J124:J125"/>
    <mergeCell ref="J126:J127"/>
    <mergeCell ref="J108:J109"/>
    <mergeCell ref="J110:J111"/>
    <mergeCell ref="J112:J113"/>
    <mergeCell ref="J114:J115"/>
    <mergeCell ref="J116:J117"/>
    <mergeCell ref="J98:J99"/>
    <mergeCell ref="J100:J101"/>
    <mergeCell ref="J102:J103"/>
    <mergeCell ref="J104:J105"/>
    <mergeCell ref="J106:J107"/>
    <mergeCell ref="J88:J89"/>
    <mergeCell ref="J90:J91"/>
    <mergeCell ref="J92:J93"/>
    <mergeCell ref="J94:J95"/>
    <mergeCell ref="J96:J97"/>
    <mergeCell ref="J78:J79"/>
    <mergeCell ref="J80:J81"/>
    <mergeCell ref="J82:J83"/>
    <mergeCell ref="J84:J85"/>
    <mergeCell ref="J86:J87"/>
    <mergeCell ref="J68:J69"/>
    <mergeCell ref="J70:J71"/>
    <mergeCell ref="J72:J73"/>
    <mergeCell ref="J74:J75"/>
    <mergeCell ref="J76:J77"/>
    <mergeCell ref="J58:J59"/>
    <mergeCell ref="J60:J61"/>
    <mergeCell ref="J62:J63"/>
    <mergeCell ref="J64:J65"/>
    <mergeCell ref="J66:J67"/>
    <mergeCell ref="J48:J49"/>
    <mergeCell ref="J50:J51"/>
    <mergeCell ref="J52:J53"/>
    <mergeCell ref="J54:J55"/>
    <mergeCell ref="J56:J57"/>
    <mergeCell ref="J38:J39"/>
    <mergeCell ref="J40:J41"/>
    <mergeCell ref="J42:J43"/>
    <mergeCell ref="J44:J45"/>
    <mergeCell ref="J46:J47"/>
    <mergeCell ref="J28:J29"/>
    <mergeCell ref="J30:J31"/>
    <mergeCell ref="J32:J33"/>
    <mergeCell ref="J34:J35"/>
    <mergeCell ref="J36:J37"/>
    <mergeCell ref="J18:J19"/>
    <mergeCell ref="J20:J21"/>
    <mergeCell ref="J22:J23"/>
    <mergeCell ref="J24:J25"/>
    <mergeCell ref="J26:J27"/>
    <mergeCell ref="K12:K13"/>
    <mergeCell ref="K14:K15"/>
    <mergeCell ref="K16:K17"/>
    <mergeCell ref="K2:K3"/>
    <mergeCell ref="K4:K5"/>
    <mergeCell ref="K6:K7"/>
    <mergeCell ref="K8:K9"/>
    <mergeCell ref="K10:K11"/>
    <mergeCell ref="J14:J15"/>
    <mergeCell ref="J16:J17"/>
    <mergeCell ref="J2:J3"/>
    <mergeCell ref="J4:J5"/>
    <mergeCell ref="J6:J7"/>
    <mergeCell ref="J8:J9"/>
    <mergeCell ref="J10:J11"/>
    <mergeCell ref="J12:J13"/>
    <mergeCell ref="H14:H15"/>
    <mergeCell ref="A16:A17"/>
    <mergeCell ref="B16:B17"/>
    <mergeCell ref="C16:C17"/>
    <mergeCell ref="E16:E17"/>
    <mergeCell ref="F16:F17"/>
    <mergeCell ref="G16:G17"/>
    <mergeCell ref="H16:H17"/>
    <mergeCell ref="A14:A15"/>
    <mergeCell ref="B14:B15"/>
    <mergeCell ref="C14:C15"/>
    <mergeCell ref="E14:E15"/>
    <mergeCell ref="F14:F15"/>
    <mergeCell ref="G14:G15"/>
    <mergeCell ref="H10:H11"/>
    <mergeCell ref="A12:A13"/>
    <mergeCell ref="B12:B13"/>
    <mergeCell ref="C12:C13"/>
    <mergeCell ref="E12:E13"/>
    <mergeCell ref="F12:F13"/>
    <mergeCell ref="G12:G13"/>
    <mergeCell ref="H12:H13"/>
    <mergeCell ref="A10:A11"/>
    <mergeCell ref="B10:B11"/>
    <mergeCell ref="C10:C11"/>
    <mergeCell ref="E10:E11"/>
    <mergeCell ref="F10:F11"/>
    <mergeCell ref="G10:G11"/>
    <mergeCell ref="H6:H7"/>
    <mergeCell ref="A8:A9"/>
    <mergeCell ref="B8:B9"/>
    <mergeCell ref="C8:C9"/>
    <mergeCell ref="E8:E9"/>
    <mergeCell ref="F8:F9"/>
    <mergeCell ref="G8:G9"/>
    <mergeCell ref="H8:H9"/>
    <mergeCell ref="A6:A7"/>
    <mergeCell ref="B6:B7"/>
    <mergeCell ref="C6:C7"/>
    <mergeCell ref="E6:E7"/>
    <mergeCell ref="F6:F7"/>
    <mergeCell ref="G6:G7"/>
    <mergeCell ref="H2:H3"/>
    <mergeCell ref="A4:A5"/>
    <mergeCell ref="B4:B5"/>
    <mergeCell ref="C4:C5"/>
    <mergeCell ref="E4:E5"/>
    <mergeCell ref="F4:F5"/>
    <mergeCell ref="G4:G5"/>
    <mergeCell ref="H4:H5"/>
    <mergeCell ref="A2:A3"/>
    <mergeCell ref="B2:B3"/>
    <mergeCell ref="C2:C3"/>
    <mergeCell ref="E2:E3"/>
    <mergeCell ref="F2:F3"/>
    <mergeCell ref="G2:G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505"/>
  <sheetViews>
    <sheetView workbookViewId="0">
      <selection activeCell="A440" sqref="A440"/>
    </sheetView>
  </sheetViews>
  <sheetFormatPr defaultRowHeight="15" x14ac:dyDescent="0.25"/>
  <cols>
    <col min="1" max="1" width="3.85546875" bestFit="1" customWidth="1"/>
    <col min="2" max="2" width="14.28515625" style="3" bestFit="1" customWidth="1"/>
    <col min="3" max="3" width="11.28515625" bestFit="1" customWidth="1"/>
    <col min="4" max="4" width="24" bestFit="1" customWidth="1"/>
    <col min="5" max="5" width="16" bestFit="1" customWidth="1"/>
    <col min="6" max="6" width="13.5703125" bestFit="1" customWidth="1"/>
    <col min="7" max="7" width="17.140625" customWidth="1"/>
    <col min="8" max="8" width="21.85546875" customWidth="1"/>
    <col min="9" max="9" width="10.7109375" customWidth="1"/>
    <col min="10" max="10" width="28" style="3" customWidth="1"/>
    <col min="11" max="11" width="11" customWidth="1"/>
  </cols>
  <sheetData>
    <row r="1" spans="1:11" ht="29.25" thickBot="1" x14ac:dyDescent="0.3">
      <c r="A1" s="20" t="s">
        <v>2</v>
      </c>
      <c r="B1" s="21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406</v>
      </c>
      <c r="J1" s="2" t="s">
        <v>18</v>
      </c>
      <c r="K1" s="1" t="s">
        <v>19</v>
      </c>
    </row>
    <row r="2" spans="1:11" ht="15" customHeight="1" thickTop="1" x14ac:dyDescent="0.25">
      <c r="A2" s="35">
        <v>1</v>
      </c>
      <c r="B2" s="36">
        <v>2603076537</v>
      </c>
      <c r="C2" s="37" t="s">
        <v>402</v>
      </c>
      <c r="D2" s="18" t="s">
        <v>403</v>
      </c>
      <c r="E2" s="37" t="s">
        <v>405</v>
      </c>
      <c r="F2" s="37" t="s">
        <v>10</v>
      </c>
      <c r="G2" s="38">
        <v>243200</v>
      </c>
      <c r="H2" s="24">
        <v>46091</v>
      </c>
      <c r="I2" s="37"/>
      <c r="J2" s="39" t="str">
        <f>IF(E2="", "", IFERROR(VLOOKUP(IFERROR(VLOOKUP(SUBSTITUTE(E2,"DS ","")&amp;F2, wilayahfix!$A:$D, 2, 0), ""), user!$B:$D, 2, 0), "TIDAK KETEMU"))</f>
        <v>120201219820720072991</v>
      </c>
      <c r="K2" s="39" t="str">
        <f>IF(E2="", "", IFERROR(VLOOKUP(IFERROR(VLOOKUP(SUBSTITUTE(E2,"DS ","")&amp;F2, wilayahfix!$A:$D, 2, 0), ""), user!$B:$D, 3, 0), ""))</f>
        <v>KADIR</v>
      </c>
    </row>
    <row r="3" spans="1:11" ht="15.75" thickBot="1" x14ac:dyDescent="0.3">
      <c r="A3" s="27"/>
      <c r="B3" s="29"/>
      <c r="C3" s="31"/>
      <c r="D3" s="19" t="s">
        <v>404</v>
      </c>
      <c r="E3" s="31"/>
      <c r="F3" s="31"/>
      <c r="G3" s="33"/>
      <c r="H3" s="25"/>
      <c r="I3" s="31"/>
      <c r="J3" s="39"/>
      <c r="K3" s="39"/>
    </row>
    <row r="4" spans="1:11" ht="15" customHeight="1" x14ac:dyDescent="0.25">
      <c r="A4" s="26">
        <v>2</v>
      </c>
      <c r="B4" s="28">
        <v>2603064038</v>
      </c>
      <c r="C4" s="30" t="s">
        <v>407</v>
      </c>
      <c r="D4" s="18" t="s">
        <v>408</v>
      </c>
      <c r="E4" s="30" t="s">
        <v>410</v>
      </c>
      <c r="F4" s="30" t="s">
        <v>10</v>
      </c>
      <c r="G4" s="32">
        <v>209200</v>
      </c>
      <c r="H4" s="34">
        <v>46091</v>
      </c>
      <c r="I4" s="30"/>
      <c r="J4" s="39" t="str">
        <f>IF(E4="", "", IFERROR(VLOOKUP(IFERROR(VLOOKUP(SUBSTITUTE(E4,"DS ","")&amp;F4, wilayahfix!$A:$D, 2, 0), ""), user!$B:$D, 2, 0), "TIDAK KETEMU"))</f>
        <v>120201219820720072991</v>
      </c>
      <c r="K4" s="39" t="str">
        <f>IF(E4="", "", IFERROR(VLOOKUP(IFERROR(VLOOKUP(SUBSTITUTE(E4,"DS ","")&amp;F4, wilayahfix!$A:$D, 2, 0), ""), user!$B:$D, 3, 0), ""))</f>
        <v>KADIR</v>
      </c>
    </row>
    <row r="5" spans="1:11" ht="15.75" thickBot="1" x14ac:dyDescent="0.3">
      <c r="A5" s="27"/>
      <c r="B5" s="29"/>
      <c r="C5" s="31"/>
      <c r="D5" s="19" t="s">
        <v>409</v>
      </c>
      <c r="E5" s="31"/>
      <c r="F5" s="31"/>
      <c r="G5" s="33"/>
      <c r="H5" s="25"/>
      <c r="I5" s="31"/>
      <c r="J5" s="39"/>
      <c r="K5" s="39"/>
    </row>
    <row r="6" spans="1:11" ht="15" customHeight="1" x14ac:dyDescent="0.25">
      <c r="A6" s="26">
        <v>3</v>
      </c>
      <c r="B6" s="28">
        <v>2603071699</v>
      </c>
      <c r="C6" s="30" t="s">
        <v>411</v>
      </c>
      <c r="D6" s="18" t="s">
        <v>412</v>
      </c>
      <c r="E6" s="30" t="s">
        <v>414</v>
      </c>
      <c r="F6" s="30" t="s">
        <v>10</v>
      </c>
      <c r="G6" s="32">
        <v>151900</v>
      </c>
      <c r="H6" s="34">
        <v>46091</v>
      </c>
      <c r="I6" s="30"/>
      <c r="J6" s="39" t="str">
        <f>IF(E6="", "", IFERROR(VLOOKUP(IFERROR(VLOOKUP(SUBSTITUTE(E6,"DS ","")&amp;F6, wilayahfix!$A:$D, 2, 0), ""), user!$B:$D, 2, 0), "TIDAK KETEMU"))</f>
        <v>120291019860720072992</v>
      </c>
      <c r="K6" s="39" t="str">
        <f>IF(E6="", "", IFERROR(VLOOKUP(IFERROR(VLOOKUP(SUBSTITUTE(E6,"DS ","")&amp;F6, wilayahfix!$A:$D, 2, 0), ""), user!$B:$D, 3, 0), ""))</f>
        <v>SIAPP</v>
      </c>
    </row>
    <row r="7" spans="1:11" ht="15.75" thickBot="1" x14ac:dyDescent="0.3">
      <c r="A7" s="27"/>
      <c r="B7" s="29"/>
      <c r="C7" s="31"/>
      <c r="D7" s="19" t="s">
        <v>413</v>
      </c>
      <c r="E7" s="31"/>
      <c r="F7" s="31"/>
      <c r="G7" s="33"/>
      <c r="H7" s="25"/>
      <c r="I7" s="31"/>
      <c r="J7" s="39"/>
      <c r="K7" s="39"/>
    </row>
    <row r="8" spans="1:11" ht="15" customHeight="1" x14ac:dyDescent="0.25">
      <c r="A8" s="26">
        <v>4</v>
      </c>
      <c r="B8" s="28">
        <v>2603099049</v>
      </c>
      <c r="C8" s="30" t="s">
        <v>415</v>
      </c>
      <c r="D8" s="18" t="s">
        <v>416</v>
      </c>
      <c r="E8" s="30" t="s">
        <v>418</v>
      </c>
      <c r="F8" s="30" t="s">
        <v>99</v>
      </c>
      <c r="G8" s="32">
        <v>181800</v>
      </c>
      <c r="H8" s="34">
        <v>46091</v>
      </c>
      <c r="I8" s="30"/>
      <c r="J8" s="39" t="str">
        <f>IF(E8="", "", IFERROR(VLOOKUP(IFERROR(VLOOKUP(SUBSTITUTE(E8,"DS ","")&amp;F8, wilayahfix!$A:$D, 2, 0), ""), user!$B:$D, 2, 0), "TIDAK KETEMU"))</f>
        <v>198311252010011005</v>
      </c>
      <c r="K8" s="39" t="str">
        <f>IF(E8="", "", IFERROR(VLOOKUP(IFERROR(VLOOKUP(SUBSTITUTE(E8,"DS ","")&amp;F8, wilayahfix!$A:$D, 2, 0), ""), user!$B:$D, 3, 0), ""))</f>
        <v>YAFET</v>
      </c>
    </row>
    <row r="9" spans="1:11" ht="15.75" thickBot="1" x14ac:dyDescent="0.3">
      <c r="A9" s="27"/>
      <c r="B9" s="29"/>
      <c r="C9" s="31"/>
      <c r="D9" s="19" t="s">
        <v>417</v>
      </c>
      <c r="E9" s="31"/>
      <c r="F9" s="31"/>
      <c r="G9" s="33"/>
      <c r="H9" s="25"/>
      <c r="I9" s="31"/>
      <c r="J9" s="39"/>
      <c r="K9" s="39"/>
    </row>
    <row r="10" spans="1:11" ht="15" customHeight="1" x14ac:dyDescent="0.25">
      <c r="A10" s="26">
        <v>5</v>
      </c>
      <c r="B10" s="28">
        <v>2603082823</v>
      </c>
      <c r="C10" s="30" t="s">
        <v>419</v>
      </c>
      <c r="D10" s="18" t="s">
        <v>420</v>
      </c>
      <c r="E10" s="30" t="s">
        <v>422</v>
      </c>
      <c r="F10" s="30" t="s">
        <v>99</v>
      </c>
      <c r="G10" s="32">
        <v>196800</v>
      </c>
      <c r="H10" s="34">
        <v>46091</v>
      </c>
      <c r="I10" s="30"/>
      <c r="J10" s="39" t="str">
        <f>IF(E10="", "", IFERROR(VLOOKUP(IFERROR(VLOOKUP(SUBSTITUTE(E10,"DS ","")&amp;F10, wilayahfix!$A:$D, 2, 0), ""), user!$B:$D, 2, 0), "TIDAK KETEMU"))</f>
        <v>198311252010011005</v>
      </c>
      <c r="K10" s="39" t="str">
        <f>IF(E10="", "", IFERROR(VLOOKUP(IFERROR(VLOOKUP(SUBSTITUTE(E10,"DS ","")&amp;F10, wilayahfix!$A:$D, 2, 0), ""), user!$B:$D, 3, 0), ""))</f>
        <v>YAFET</v>
      </c>
    </row>
    <row r="11" spans="1:11" ht="29.25" thickBot="1" x14ac:dyDescent="0.3">
      <c r="A11" s="27"/>
      <c r="B11" s="29"/>
      <c r="C11" s="31"/>
      <c r="D11" s="19" t="s">
        <v>421</v>
      </c>
      <c r="E11" s="31"/>
      <c r="F11" s="31"/>
      <c r="G11" s="33"/>
      <c r="H11" s="25"/>
      <c r="I11" s="31"/>
      <c r="J11" s="39"/>
      <c r="K11" s="39"/>
    </row>
    <row r="12" spans="1:11" ht="15" customHeight="1" x14ac:dyDescent="0.25">
      <c r="A12" s="26">
        <v>6</v>
      </c>
      <c r="B12" s="28">
        <v>2603096239</v>
      </c>
      <c r="C12" s="30" t="s">
        <v>423</v>
      </c>
      <c r="D12" s="18" t="s">
        <v>424</v>
      </c>
      <c r="E12" s="30" t="s">
        <v>11</v>
      </c>
      <c r="F12" s="30" t="s">
        <v>12</v>
      </c>
      <c r="G12" s="32">
        <v>267300</v>
      </c>
      <c r="H12" s="34">
        <v>46091</v>
      </c>
      <c r="I12" s="30"/>
      <c r="J12" s="39" t="str">
        <f>IF(E12="", "", IFERROR(VLOOKUP(IFERROR(VLOOKUP(SUBSTITUTE(E12,"DS ","")&amp;F12, wilayahfix!$A:$D, 2, 0), ""), user!$B:$D, 2, 0), "TIDAK KETEMU"))</f>
        <v>120281219860120113003</v>
      </c>
      <c r="K12" s="39">
        <f>IF(E12="", "", IFERROR(VLOOKUP(IFERROR(VLOOKUP(SUBSTITUTE(E12,"DS ","")&amp;F12, wilayahfix!$A:$D, 2, 0), ""), user!$B:$D, 3, 0), ""))</f>
        <v>250005</v>
      </c>
    </row>
    <row r="13" spans="1:11" ht="15.75" thickBot="1" x14ac:dyDescent="0.3">
      <c r="A13" s="27"/>
      <c r="B13" s="29"/>
      <c r="C13" s="31"/>
      <c r="D13" s="19" t="s">
        <v>425</v>
      </c>
      <c r="E13" s="31"/>
      <c r="F13" s="31"/>
      <c r="G13" s="33"/>
      <c r="H13" s="25"/>
      <c r="I13" s="31"/>
      <c r="J13" s="39"/>
      <c r="K13" s="39"/>
    </row>
    <row r="14" spans="1:11" ht="15" customHeight="1" x14ac:dyDescent="0.25">
      <c r="A14" s="26">
        <v>7</v>
      </c>
      <c r="B14" s="28">
        <v>2603076608</v>
      </c>
      <c r="C14" s="30" t="s">
        <v>426</v>
      </c>
      <c r="D14" s="18" t="s">
        <v>427</v>
      </c>
      <c r="E14" s="30" t="s">
        <v>11</v>
      </c>
      <c r="F14" s="30" t="s">
        <v>12</v>
      </c>
      <c r="G14" s="32">
        <v>196800</v>
      </c>
      <c r="H14" s="34">
        <v>46091</v>
      </c>
      <c r="I14" s="30"/>
      <c r="J14" s="39" t="str">
        <f>IF(E14="", "", IFERROR(VLOOKUP(IFERROR(VLOOKUP(SUBSTITUTE(E14,"DS ","")&amp;F14, wilayahfix!$A:$D, 2, 0), ""), user!$B:$D, 2, 0), "TIDAK KETEMU"))</f>
        <v>120281219860120113003</v>
      </c>
      <c r="K14" s="39">
        <f>IF(E14="", "", IFERROR(VLOOKUP(IFERROR(VLOOKUP(SUBSTITUTE(E14,"DS ","")&amp;F14, wilayahfix!$A:$D, 2, 0), ""), user!$B:$D, 3, 0), ""))</f>
        <v>250005</v>
      </c>
    </row>
    <row r="15" spans="1:11" ht="15.75" thickBot="1" x14ac:dyDescent="0.3">
      <c r="A15" s="27"/>
      <c r="B15" s="29"/>
      <c r="C15" s="31"/>
      <c r="D15" s="19" t="s">
        <v>428</v>
      </c>
      <c r="E15" s="31"/>
      <c r="F15" s="31"/>
      <c r="G15" s="33"/>
      <c r="H15" s="25"/>
      <c r="I15" s="31"/>
      <c r="J15" s="39"/>
      <c r="K15" s="39"/>
    </row>
    <row r="16" spans="1:11" ht="15" customHeight="1" x14ac:dyDescent="0.25">
      <c r="A16" s="26">
        <v>8</v>
      </c>
      <c r="B16" s="28">
        <v>2603075042</v>
      </c>
      <c r="C16" s="30" t="s">
        <v>429</v>
      </c>
      <c r="D16" s="18" t="s">
        <v>430</v>
      </c>
      <c r="E16" s="30" t="s">
        <v>432</v>
      </c>
      <c r="F16" s="30" t="s">
        <v>12</v>
      </c>
      <c r="G16" s="32">
        <v>270600</v>
      </c>
      <c r="H16" s="34">
        <v>46091</v>
      </c>
      <c r="I16" s="30"/>
      <c r="J16" s="39" t="str">
        <f>IF(E16="", "", IFERROR(VLOOKUP(IFERROR(VLOOKUP(SUBSTITUTE(E16,"DS ","")&amp;F16, wilayahfix!$A:$D, 2, 0), ""), user!$B:$D, 2, 0), "TIDAK KETEMU"))</f>
        <v>120281219860120113003</v>
      </c>
      <c r="K16" s="39">
        <f>IF(E16="", "", IFERROR(VLOOKUP(IFERROR(VLOOKUP(SUBSTITUTE(E16,"DS ","")&amp;F16, wilayahfix!$A:$D, 2, 0), ""), user!$B:$D, 3, 0), ""))</f>
        <v>250005</v>
      </c>
    </row>
    <row r="17" spans="1:11" ht="15.75" thickBot="1" x14ac:dyDescent="0.3">
      <c r="A17" s="27"/>
      <c r="B17" s="29"/>
      <c r="C17" s="31"/>
      <c r="D17" s="19" t="s">
        <v>431</v>
      </c>
      <c r="E17" s="31"/>
      <c r="F17" s="31"/>
      <c r="G17" s="33"/>
      <c r="H17" s="25"/>
      <c r="I17" s="31"/>
      <c r="J17" s="39"/>
      <c r="K17" s="39"/>
    </row>
    <row r="18" spans="1:11" x14ac:dyDescent="0.25">
      <c r="A18" s="26">
        <v>9</v>
      </c>
      <c r="B18" s="28">
        <v>2603083988</v>
      </c>
      <c r="C18" s="30" t="s">
        <v>433</v>
      </c>
      <c r="D18" s="18" t="s">
        <v>434</v>
      </c>
      <c r="E18" s="30" t="s">
        <v>432</v>
      </c>
      <c r="F18" s="30" t="s">
        <v>12</v>
      </c>
      <c r="G18" s="32">
        <v>216700</v>
      </c>
      <c r="H18" s="34">
        <v>46091</v>
      </c>
      <c r="I18" s="30"/>
      <c r="J18" s="39" t="str">
        <f>IF(E18="", "", IFERROR(VLOOKUP(IFERROR(VLOOKUP(SUBSTITUTE(E18,"DS ","")&amp;F18, wilayahfix!$A:$D, 2, 0), ""), user!$B:$D, 2, 0), "TIDAK KETEMU"))</f>
        <v>120281219860120113003</v>
      </c>
      <c r="K18" s="39">
        <f>IF(E18="", "", IFERROR(VLOOKUP(IFERROR(VLOOKUP(SUBSTITUTE(E18,"DS ","")&amp;F18, wilayahfix!$A:$D, 2, 0), ""), user!$B:$D, 3, 0), ""))</f>
        <v>250005</v>
      </c>
    </row>
    <row r="19" spans="1:11" ht="15.75" thickBot="1" x14ac:dyDescent="0.3">
      <c r="A19" s="27"/>
      <c r="B19" s="29"/>
      <c r="C19" s="31"/>
      <c r="D19" s="19" t="s">
        <v>435</v>
      </c>
      <c r="E19" s="31"/>
      <c r="F19" s="31"/>
      <c r="G19" s="33"/>
      <c r="H19" s="25"/>
      <c r="I19" s="31"/>
      <c r="J19" s="39"/>
      <c r="K19" s="39"/>
    </row>
    <row r="20" spans="1:11" x14ac:dyDescent="0.25">
      <c r="A20" s="26">
        <v>10</v>
      </c>
      <c r="B20" s="28">
        <v>2603028068</v>
      </c>
      <c r="C20" s="30" t="s">
        <v>436</v>
      </c>
      <c r="D20" s="18" t="s">
        <v>437</v>
      </c>
      <c r="E20" s="30" t="s">
        <v>13</v>
      </c>
      <c r="F20" s="30" t="s">
        <v>12</v>
      </c>
      <c r="G20" s="32">
        <v>198400</v>
      </c>
      <c r="H20" s="34">
        <v>46091</v>
      </c>
      <c r="I20" s="30"/>
      <c r="J20" s="39" t="str">
        <f>IF(E20="", "", IFERROR(VLOOKUP(IFERROR(VLOOKUP(SUBSTITUTE(E20,"DS ","")&amp;F20, wilayahfix!$A:$D, 2, 0), ""), user!$B:$D, 2, 0), "TIDAK KETEMU"))</f>
        <v>120281219860120113003</v>
      </c>
      <c r="K20" s="39">
        <f>IF(E20="", "", IFERROR(VLOOKUP(IFERROR(VLOOKUP(SUBSTITUTE(E20,"DS ","")&amp;F20, wilayahfix!$A:$D, 2, 0), ""), user!$B:$D, 3, 0), ""))</f>
        <v>250005</v>
      </c>
    </row>
    <row r="21" spans="1:11" ht="15.75" thickBot="1" x14ac:dyDescent="0.3">
      <c r="A21" s="27"/>
      <c r="B21" s="29"/>
      <c r="C21" s="31"/>
      <c r="D21" s="19" t="s">
        <v>438</v>
      </c>
      <c r="E21" s="31"/>
      <c r="F21" s="31"/>
      <c r="G21" s="33"/>
      <c r="H21" s="25"/>
      <c r="I21" s="31"/>
      <c r="J21" s="39"/>
      <c r="K21" s="39"/>
    </row>
    <row r="22" spans="1:11" x14ac:dyDescent="0.25">
      <c r="A22" s="26">
        <v>11</v>
      </c>
      <c r="B22" s="28">
        <v>2603012223</v>
      </c>
      <c r="C22" s="30" t="s">
        <v>439</v>
      </c>
      <c r="D22" s="18" t="s">
        <v>440</v>
      </c>
      <c r="E22" s="30" t="s">
        <v>13</v>
      </c>
      <c r="F22" s="30" t="s">
        <v>12</v>
      </c>
      <c r="G22" s="32">
        <v>198400</v>
      </c>
      <c r="H22" s="34">
        <v>46091</v>
      </c>
      <c r="I22" s="30"/>
      <c r="J22" s="39" t="str">
        <f>IF(E22="", "", IFERROR(VLOOKUP(IFERROR(VLOOKUP(SUBSTITUTE(E22,"DS ","")&amp;F22, wilayahfix!$A:$D, 2, 0), ""), user!$B:$D, 2, 0), "TIDAK KETEMU"))</f>
        <v>120281219860120113003</v>
      </c>
      <c r="K22" s="39">
        <f>IF(E22="", "", IFERROR(VLOOKUP(IFERROR(VLOOKUP(SUBSTITUTE(E22,"DS ","")&amp;F22, wilayahfix!$A:$D, 2, 0), ""), user!$B:$D, 3, 0), ""))</f>
        <v>250005</v>
      </c>
    </row>
    <row r="23" spans="1:11" ht="15.75" thickBot="1" x14ac:dyDescent="0.3">
      <c r="A23" s="27"/>
      <c r="B23" s="29"/>
      <c r="C23" s="31"/>
      <c r="D23" s="19" t="s">
        <v>441</v>
      </c>
      <c r="E23" s="31"/>
      <c r="F23" s="31"/>
      <c r="G23" s="33"/>
      <c r="H23" s="25"/>
      <c r="I23" s="31"/>
      <c r="J23" s="39"/>
      <c r="K23" s="39"/>
    </row>
    <row r="24" spans="1:11" x14ac:dyDescent="0.25">
      <c r="A24" s="26">
        <v>12</v>
      </c>
      <c r="B24" s="28">
        <v>2603087991</v>
      </c>
      <c r="C24" s="30" t="s">
        <v>442</v>
      </c>
      <c r="D24" s="18" t="s">
        <v>443</v>
      </c>
      <c r="E24" s="30" t="s">
        <v>13</v>
      </c>
      <c r="F24" s="30" t="s">
        <v>12</v>
      </c>
      <c r="G24" s="32">
        <v>183500</v>
      </c>
      <c r="H24" s="34">
        <v>46091</v>
      </c>
      <c r="I24" s="30"/>
      <c r="J24" s="39" t="str">
        <f>IF(E24="", "", IFERROR(VLOOKUP(IFERROR(VLOOKUP(SUBSTITUTE(E24,"DS ","")&amp;F24, wilayahfix!$A:$D, 2, 0), ""), user!$B:$D, 2, 0), "TIDAK KETEMU"))</f>
        <v>120281219860120113003</v>
      </c>
      <c r="K24" s="39">
        <f>IF(E24="", "", IFERROR(VLOOKUP(IFERROR(VLOOKUP(SUBSTITUTE(E24,"DS ","")&amp;F24, wilayahfix!$A:$D, 2, 0), ""), user!$B:$D, 3, 0), ""))</f>
        <v>250005</v>
      </c>
    </row>
    <row r="25" spans="1:11" ht="15.75" thickBot="1" x14ac:dyDescent="0.3">
      <c r="A25" s="27"/>
      <c r="B25" s="29"/>
      <c r="C25" s="31"/>
      <c r="D25" s="19" t="s">
        <v>444</v>
      </c>
      <c r="E25" s="31"/>
      <c r="F25" s="31"/>
      <c r="G25" s="33"/>
      <c r="H25" s="25"/>
      <c r="I25" s="31"/>
      <c r="J25" s="39"/>
      <c r="K25" s="39"/>
    </row>
    <row r="26" spans="1:11" x14ac:dyDescent="0.25">
      <c r="A26" s="26">
        <v>13</v>
      </c>
      <c r="B26" s="28">
        <v>2603078723</v>
      </c>
      <c r="C26" s="30" t="s">
        <v>445</v>
      </c>
      <c r="D26" s="18" t="s">
        <v>446</v>
      </c>
      <c r="E26" s="30" t="s">
        <v>15</v>
      </c>
      <c r="F26" s="30" t="s">
        <v>12</v>
      </c>
      <c r="G26" s="32">
        <v>417500</v>
      </c>
      <c r="H26" s="34">
        <v>46091</v>
      </c>
      <c r="I26" s="30"/>
      <c r="J26" s="39" t="str">
        <f>IF(E26="", "", IFERROR(VLOOKUP(IFERROR(VLOOKUP(SUBSTITUTE(E26,"DS ","")&amp;F26, wilayahfix!$A:$D, 2, 0), ""), user!$B:$D, 2, 0), "TIDAK KETEMU"))</f>
        <v>120281219860120113003</v>
      </c>
      <c r="K26" s="39">
        <f>IF(E26="", "", IFERROR(VLOOKUP(IFERROR(VLOOKUP(SUBSTITUTE(E26,"DS ","")&amp;F26, wilayahfix!$A:$D, 2, 0), ""), user!$B:$D, 3, 0), ""))</f>
        <v>250005</v>
      </c>
    </row>
    <row r="27" spans="1:11" ht="15.75" thickBot="1" x14ac:dyDescent="0.3">
      <c r="A27" s="27"/>
      <c r="B27" s="29"/>
      <c r="C27" s="31"/>
      <c r="D27" s="19" t="s">
        <v>447</v>
      </c>
      <c r="E27" s="31"/>
      <c r="F27" s="31"/>
      <c r="G27" s="33"/>
      <c r="H27" s="25"/>
      <c r="I27" s="31"/>
      <c r="J27" s="39"/>
      <c r="K27" s="39"/>
    </row>
    <row r="28" spans="1:11" x14ac:dyDescent="0.25">
      <c r="J28" s="39" t="str">
        <f>IF(E28="", "", IFERROR(VLOOKUP(IFERROR(VLOOKUP(SUBSTITUTE(E28,"DS ","")&amp;F28, wilayahfix!$A:$D, 2, 0), ""), user!$B:$D, 2, 0), "TIDAK KETEMU"))</f>
        <v/>
      </c>
      <c r="K28" s="39" t="str">
        <f>IF(E28="", "", IFERROR(VLOOKUP(IFERROR(VLOOKUP(SUBSTITUTE(E28,"DS ","")&amp;F28, wilayahfix!$A:$D, 2, 0), ""), user!$B:$D, 3, 0), ""))</f>
        <v/>
      </c>
    </row>
    <row r="29" spans="1:11" x14ac:dyDescent="0.25">
      <c r="J29" s="39"/>
      <c r="K29" s="39"/>
    </row>
    <row r="30" spans="1:11" x14ac:dyDescent="0.25">
      <c r="J30" s="39" t="str">
        <f>IF(E30="", "", IFERROR(VLOOKUP(IFERROR(VLOOKUP(SUBSTITUTE(E30,"DS ","")&amp;F30, wilayahfix!$A:$D, 2, 0), ""), user!$B:$D, 2, 0), "TIDAK KETEMU"))</f>
        <v/>
      </c>
      <c r="K30" s="39" t="str">
        <f>IF(E30="", "", IFERROR(VLOOKUP(IFERROR(VLOOKUP(SUBSTITUTE(E30,"DS ","")&amp;F30, wilayahfix!$A:$D, 2, 0), ""), user!$B:$D, 3, 0), ""))</f>
        <v/>
      </c>
    </row>
    <row r="31" spans="1:11" x14ac:dyDescent="0.25">
      <c r="J31" s="39"/>
      <c r="K31" s="39"/>
    </row>
    <row r="32" spans="1:11" x14ac:dyDescent="0.25">
      <c r="J32" s="39" t="str">
        <f>IF(E32="", "", IFERROR(VLOOKUP(IFERROR(VLOOKUP(SUBSTITUTE(E32,"DS ","")&amp;F32, wilayahfix!$A:$D, 2, 0), ""), user!$B:$D, 2, 0), "TIDAK KETEMU"))</f>
        <v/>
      </c>
      <c r="K32" s="39" t="str">
        <f>IF(E32="", "", IFERROR(VLOOKUP(IFERROR(VLOOKUP(SUBSTITUTE(E32,"DS ","")&amp;F32, wilayahfix!$A:$D, 2, 0), ""), user!$B:$D, 3, 0), ""))</f>
        <v/>
      </c>
    </row>
    <row r="33" spans="10:11" x14ac:dyDescent="0.25">
      <c r="J33" s="39"/>
      <c r="K33" s="39"/>
    </row>
    <row r="34" spans="10:11" x14ac:dyDescent="0.25">
      <c r="J34" s="39" t="str">
        <f>IF(E34="", "", IFERROR(VLOOKUP(IFERROR(VLOOKUP(SUBSTITUTE(E34,"DS ","")&amp;F34, wilayahfix!$A:$D, 2, 0), ""), user!$B:$D, 2, 0), "TIDAK KETEMU"))</f>
        <v/>
      </c>
      <c r="K34" s="39" t="str">
        <f>IF(E34="", "", IFERROR(VLOOKUP(IFERROR(VLOOKUP(SUBSTITUTE(E34,"DS ","")&amp;F34, wilayahfix!$A:$D, 2, 0), ""), user!$B:$D, 3, 0), ""))</f>
        <v/>
      </c>
    </row>
    <row r="35" spans="10:11" x14ac:dyDescent="0.25">
      <c r="J35" s="39"/>
      <c r="K35" s="39"/>
    </row>
    <row r="36" spans="10:11" x14ac:dyDescent="0.25">
      <c r="J36" s="39" t="str">
        <f>IF(E36="", "", IFERROR(VLOOKUP(IFERROR(VLOOKUP(SUBSTITUTE(E36,"DS ","")&amp;F36, wilayahfix!$A:$D, 2, 0), ""), user!$B:$D, 2, 0), "TIDAK KETEMU"))</f>
        <v/>
      </c>
      <c r="K36" s="39" t="str">
        <f>IF(E36="", "", IFERROR(VLOOKUP(IFERROR(VLOOKUP(SUBSTITUTE(E36,"DS ","")&amp;F36, wilayahfix!$A:$D, 2, 0), ""), user!$B:$D, 3, 0), ""))</f>
        <v/>
      </c>
    </row>
    <row r="37" spans="10:11" x14ac:dyDescent="0.25">
      <c r="J37" s="39"/>
      <c r="K37" s="39"/>
    </row>
    <row r="38" spans="10:11" x14ac:dyDescent="0.25">
      <c r="J38" s="39" t="str">
        <f>IF(E38="", "", IFERROR(VLOOKUP(IFERROR(VLOOKUP(SUBSTITUTE(E38,"DS ","")&amp;F38, wilayahfix!$A:$D, 2, 0), ""), user!$B:$D, 2, 0), "TIDAK KETEMU"))</f>
        <v/>
      </c>
      <c r="K38" s="39" t="str">
        <f>IF(E38="", "", IFERROR(VLOOKUP(IFERROR(VLOOKUP(SUBSTITUTE(E38,"DS ","")&amp;F38, wilayahfix!$A:$D, 2, 0), ""), user!$B:$D, 3, 0), ""))</f>
        <v/>
      </c>
    </row>
    <row r="39" spans="10:11" x14ac:dyDescent="0.25">
      <c r="J39" s="39"/>
      <c r="K39" s="39"/>
    </row>
    <row r="40" spans="10:11" x14ac:dyDescent="0.25">
      <c r="J40" s="39" t="str">
        <f>IF(E40="", "", IFERROR(VLOOKUP(IFERROR(VLOOKUP(SUBSTITUTE(E40,"DS ","")&amp;F40, wilayahfix!$A:$D, 2, 0), ""), user!$B:$D, 2, 0), "TIDAK KETEMU"))</f>
        <v/>
      </c>
      <c r="K40" s="39" t="str">
        <f>IF(E40="", "", IFERROR(VLOOKUP(IFERROR(VLOOKUP(SUBSTITUTE(E40,"DS ","")&amp;F40, wilayahfix!$A:$D, 2, 0), ""), user!$B:$D, 3, 0), ""))</f>
        <v/>
      </c>
    </row>
    <row r="41" spans="10:11" x14ac:dyDescent="0.25">
      <c r="J41" s="39"/>
      <c r="K41" s="39"/>
    </row>
    <row r="42" spans="10:11" x14ac:dyDescent="0.25">
      <c r="J42" s="39" t="str">
        <f>IF(E42="", "", IFERROR(VLOOKUP(IFERROR(VLOOKUP(SUBSTITUTE(E42,"DS ","")&amp;F42, wilayahfix!$A:$D, 2, 0), ""), user!$B:$D, 2, 0), "TIDAK KETEMU"))</f>
        <v/>
      </c>
      <c r="K42" s="39" t="str">
        <f>IF(E42="", "", IFERROR(VLOOKUP(IFERROR(VLOOKUP(SUBSTITUTE(E42,"DS ","")&amp;F42, wilayahfix!$A:$D, 2, 0), ""), user!$B:$D, 3, 0), ""))</f>
        <v/>
      </c>
    </row>
    <row r="43" spans="10:11" x14ac:dyDescent="0.25">
      <c r="J43" s="39"/>
      <c r="K43" s="39"/>
    </row>
    <row r="44" spans="10:11" x14ac:dyDescent="0.25">
      <c r="J44" s="39" t="str">
        <f>IF(E44="", "", IFERROR(VLOOKUP(IFERROR(VLOOKUP(SUBSTITUTE(E44,"DS ","")&amp;F44, wilayahfix!$A:$D, 2, 0), ""), user!$B:$D, 2, 0), "TIDAK KETEMU"))</f>
        <v/>
      </c>
      <c r="K44" s="39" t="str">
        <f>IF(E44="", "", IFERROR(VLOOKUP(IFERROR(VLOOKUP(SUBSTITUTE(E44,"DS ","")&amp;F44, wilayahfix!$A:$D, 2, 0), ""), user!$B:$D, 3, 0), ""))</f>
        <v/>
      </c>
    </row>
    <row r="45" spans="10:11" x14ac:dyDescent="0.25">
      <c r="J45" s="39"/>
      <c r="K45" s="39"/>
    </row>
    <row r="46" spans="10:11" x14ac:dyDescent="0.25">
      <c r="J46" s="39" t="str">
        <f>IF(E46="", "", IFERROR(VLOOKUP(IFERROR(VLOOKUP(SUBSTITUTE(E46,"DS ","")&amp;F46, wilayahfix!$A:$D, 2, 0), ""), user!$B:$D, 2, 0), "TIDAK KETEMU"))</f>
        <v/>
      </c>
      <c r="K46" s="39" t="str">
        <f>IF(E46="", "", IFERROR(VLOOKUP(IFERROR(VLOOKUP(SUBSTITUTE(E46,"DS ","")&amp;F46, wilayahfix!$A:$D, 2, 0), ""), user!$B:$D, 3, 0), ""))</f>
        <v/>
      </c>
    </row>
    <row r="47" spans="10:11" x14ac:dyDescent="0.25">
      <c r="J47" s="39"/>
      <c r="K47" s="39"/>
    </row>
    <row r="48" spans="10:11" x14ac:dyDescent="0.25">
      <c r="J48" s="39" t="str">
        <f>IF(E48="", "", IFERROR(VLOOKUP(IFERROR(VLOOKUP(SUBSTITUTE(E48,"DS ","")&amp;F48, wilayahfix!$A:$D, 2, 0), ""), user!$B:$D, 2, 0), "TIDAK KETEMU"))</f>
        <v/>
      </c>
      <c r="K48" s="39" t="str">
        <f>IF(E48="", "", IFERROR(VLOOKUP(IFERROR(VLOOKUP(SUBSTITUTE(E48,"DS ","")&amp;F48, wilayahfix!$A:$D, 2, 0), ""), user!$B:$D, 3, 0), ""))</f>
        <v/>
      </c>
    </row>
    <row r="49" spans="10:11" x14ac:dyDescent="0.25">
      <c r="J49" s="39"/>
      <c r="K49" s="39"/>
    </row>
    <row r="50" spans="10:11" x14ac:dyDescent="0.25">
      <c r="J50" s="39" t="str">
        <f>IF(E50="", "", IFERROR(VLOOKUP(IFERROR(VLOOKUP(SUBSTITUTE(E50,"DS ","")&amp;F50, wilayahfix!$A:$D, 2, 0), ""), user!$B:$D, 2, 0), "TIDAK KETEMU"))</f>
        <v/>
      </c>
      <c r="K50" s="39" t="str">
        <f>IF(E50="", "", IFERROR(VLOOKUP(IFERROR(VLOOKUP(SUBSTITUTE(E50,"DS ","")&amp;F50, wilayahfix!$A:$D, 2, 0), ""), user!$B:$D, 3, 0), ""))</f>
        <v/>
      </c>
    </row>
    <row r="51" spans="10:11" x14ac:dyDescent="0.25">
      <c r="J51" s="39"/>
      <c r="K51" s="39"/>
    </row>
    <row r="52" spans="10:11" x14ac:dyDescent="0.25">
      <c r="J52" s="39" t="str">
        <f>IF(E52="", "", IFERROR(VLOOKUP(IFERROR(VLOOKUP(SUBSTITUTE(E52,"DS ","")&amp;F52, wilayahfix!$A:$D, 2, 0), ""), user!$B:$D, 2, 0), "TIDAK KETEMU"))</f>
        <v/>
      </c>
      <c r="K52" s="39" t="str">
        <f>IF(E52="", "", IFERROR(VLOOKUP(IFERROR(VLOOKUP(SUBSTITUTE(E52,"DS ","")&amp;F52, wilayahfix!$A:$D, 2, 0), ""), user!$B:$D, 3, 0), ""))</f>
        <v/>
      </c>
    </row>
    <row r="53" spans="10:11" x14ac:dyDescent="0.25">
      <c r="J53" s="39"/>
      <c r="K53" s="39"/>
    </row>
    <row r="54" spans="10:11" x14ac:dyDescent="0.25">
      <c r="J54" s="39" t="str">
        <f>IF(E54="", "", IFERROR(VLOOKUP(IFERROR(VLOOKUP(SUBSTITUTE(E54,"DS ","")&amp;F54, wilayahfix!$A:$D, 2, 0), ""), user!$B:$D, 2, 0), "TIDAK KETEMU"))</f>
        <v/>
      </c>
      <c r="K54" s="39" t="str">
        <f>IF(E54="", "", IFERROR(VLOOKUP(IFERROR(VLOOKUP(SUBSTITUTE(E54,"DS ","")&amp;F54, wilayahfix!$A:$D, 2, 0), ""), user!$B:$D, 3, 0), ""))</f>
        <v/>
      </c>
    </row>
    <row r="55" spans="10:11" x14ac:dyDescent="0.25">
      <c r="J55" s="39"/>
      <c r="K55" s="39"/>
    </row>
    <row r="56" spans="10:11" x14ac:dyDescent="0.25">
      <c r="J56" s="39" t="str">
        <f>IF(E56="", "", IFERROR(VLOOKUP(IFERROR(VLOOKUP(SUBSTITUTE(E56,"DS ","")&amp;F56, wilayahfix!$A:$D, 2, 0), ""), user!$B:$D, 2, 0), "TIDAK KETEMU"))</f>
        <v/>
      </c>
      <c r="K56" s="39" t="str">
        <f>IF(E56="", "", IFERROR(VLOOKUP(IFERROR(VLOOKUP(SUBSTITUTE(E56,"DS ","")&amp;F56, wilayahfix!$A:$D, 2, 0), ""), user!$B:$D, 3, 0), ""))</f>
        <v/>
      </c>
    </row>
    <row r="57" spans="10:11" x14ac:dyDescent="0.25">
      <c r="J57" s="39"/>
      <c r="K57" s="39"/>
    </row>
    <row r="58" spans="10:11" x14ac:dyDescent="0.25">
      <c r="J58" s="39" t="str">
        <f>IF(E58="", "", IFERROR(VLOOKUP(IFERROR(VLOOKUP(SUBSTITUTE(E58,"DS ","")&amp;F58, wilayahfix!$A:$D, 2, 0), ""), user!$B:$D, 2, 0), "TIDAK KETEMU"))</f>
        <v/>
      </c>
      <c r="K58" s="39" t="str">
        <f>IF(E58="", "", IFERROR(VLOOKUP(IFERROR(VLOOKUP(SUBSTITUTE(E58,"DS ","")&amp;F58, wilayahfix!$A:$D, 2, 0), ""), user!$B:$D, 3, 0), ""))</f>
        <v/>
      </c>
    </row>
    <row r="59" spans="10:11" x14ac:dyDescent="0.25">
      <c r="J59" s="39"/>
      <c r="K59" s="39"/>
    </row>
    <row r="60" spans="10:11" x14ac:dyDescent="0.25">
      <c r="J60" s="39" t="str">
        <f>IF(E60="", "", IFERROR(VLOOKUP(IFERROR(VLOOKUP(SUBSTITUTE(E60,"DS ","")&amp;F60, wilayahfix!$A:$D, 2, 0), ""), user!$B:$D, 2, 0), "TIDAK KETEMU"))</f>
        <v/>
      </c>
      <c r="K60" s="39" t="str">
        <f>IF(E60="", "", IFERROR(VLOOKUP(IFERROR(VLOOKUP(SUBSTITUTE(E60,"DS ","")&amp;F60, wilayahfix!$A:$D, 2, 0), ""), user!$B:$D, 3, 0), ""))</f>
        <v/>
      </c>
    </row>
    <row r="61" spans="10:11" x14ac:dyDescent="0.25">
      <c r="J61" s="39"/>
      <c r="K61" s="39"/>
    </row>
    <row r="62" spans="10:11" x14ac:dyDescent="0.25">
      <c r="J62" s="39" t="str">
        <f>IF(E62="", "", IFERROR(VLOOKUP(IFERROR(VLOOKUP(SUBSTITUTE(E62,"DS ","")&amp;F62, wilayahfix!$A:$D, 2, 0), ""), user!$B:$D, 2, 0), "TIDAK KETEMU"))</f>
        <v/>
      </c>
      <c r="K62" s="39" t="str">
        <f>IF(E62="", "", IFERROR(VLOOKUP(IFERROR(VLOOKUP(SUBSTITUTE(E62,"DS ","")&amp;F62, wilayahfix!$A:$D, 2, 0), ""), user!$B:$D, 3, 0), ""))</f>
        <v/>
      </c>
    </row>
    <row r="63" spans="10:11" x14ac:dyDescent="0.25">
      <c r="J63" s="39"/>
      <c r="K63" s="39"/>
    </row>
    <row r="64" spans="10:11" x14ac:dyDescent="0.25">
      <c r="J64" s="39" t="str">
        <f>IF(E64="", "", IFERROR(VLOOKUP(IFERROR(VLOOKUP(SUBSTITUTE(E64,"DS ","")&amp;F64, wilayahfix!$A:$D, 2, 0), ""), user!$B:$D, 2, 0), "TIDAK KETEMU"))</f>
        <v/>
      </c>
      <c r="K64" s="39" t="str">
        <f>IF(E64="", "", IFERROR(VLOOKUP(IFERROR(VLOOKUP(SUBSTITUTE(E64,"DS ","")&amp;F64, wilayahfix!$A:$D, 2, 0), ""), user!$B:$D, 3, 0), ""))</f>
        <v/>
      </c>
    </row>
    <row r="65" spans="10:11" x14ac:dyDescent="0.25">
      <c r="J65" s="39"/>
      <c r="K65" s="39"/>
    </row>
    <row r="66" spans="10:11" x14ac:dyDescent="0.25">
      <c r="J66" s="39" t="str">
        <f>IF(E66="", "", IFERROR(VLOOKUP(IFERROR(VLOOKUP(SUBSTITUTE(E66,"DS ","")&amp;F66, wilayahfix!$A:$D, 2, 0), ""), user!$B:$D, 2, 0), "TIDAK KETEMU"))</f>
        <v/>
      </c>
      <c r="K66" s="39" t="str">
        <f>IF(E66="", "", IFERROR(VLOOKUP(IFERROR(VLOOKUP(SUBSTITUTE(E66,"DS ","")&amp;F66, wilayahfix!$A:$D, 2, 0), ""), user!$B:$D, 3, 0), ""))</f>
        <v/>
      </c>
    </row>
    <row r="67" spans="10:11" x14ac:dyDescent="0.25">
      <c r="J67" s="39"/>
      <c r="K67" s="39"/>
    </row>
    <row r="68" spans="10:11" x14ac:dyDescent="0.25">
      <c r="J68" s="39" t="str">
        <f>IF(E68="", "", IFERROR(VLOOKUP(IFERROR(VLOOKUP(SUBSTITUTE(E68,"DS ","")&amp;F68, wilayahfix!$A:$D, 2, 0), ""), user!$B:$D, 2, 0), "TIDAK KETEMU"))</f>
        <v/>
      </c>
      <c r="K68" s="39" t="str">
        <f>IF(E68="", "", IFERROR(VLOOKUP(IFERROR(VLOOKUP(SUBSTITUTE(E68,"DS ","")&amp;F68, wilayahfix!$A:$D, 2, 0), ""), user!$B:$D, 3, 0), ""))</f>
        <v/>
      </c>
    </row>
    <row r="69" spans="10:11" x14ac:dyDescent="0.25">
      <c r="J69" s="39"/>
      <c r="K69" s="39"/>
    </row>
    <row r="70" spans="10:11" x14ac:dyDescent="0.25">
      <c r="J70" s="39" t="str">
        <f>IF(E70="", "", IFERROR(VLOOKUP(IFERROR(VLOOKUP(SUBSTITUTE(E70,"DS ","")&amp;F70, wilayahfix!$A:$D, 2, 0), ""), user!$B:$D, 2, 0), "TIDAK KETEMU"))</f>
        <v/>
      </c>
      <c r="K70" s="39" t="str">
        <f>IF(E70="", "", IFERROR(VLOOKUP(IFERROR(VLOOKUP(SUBSTITUTE(E70,"DS ","")&amp;F70, wilayahfix!$A:$D, 2, 0), ""), user!$B:$D, 3, 0), ""))</f>
        <v/>
      </c>
    </row>
    <row r="71" spans="10:11" x14ac:dyDescent="0.25">
      <c r="J71" s="39"/>
      <c r="K71" s="39"/>
    </row>
    <row r="72" spans="10:11" x14ac:dyDescent="0.25">
      <c r="J72" s="39" t="str">
        <f>IF(E72="", "", IFERROR(VLOOKUP(IFERROR(VLOOKUP(SUBSTITUTE(E72,"DS ","")&amp;F72, wilayahfix!$A:$D, 2, 0), ""), user!$B:$D, 2, 0), "TIDAK KETEMU"))</f>
        <v/>
      </c>
      <c r="K72" s="39" t="str">
        <f>IF(E72="", "", IFERROR(VLOOKUP(IFERROR(VLOOKUP(SUBSTITUTE(E72,"DS ","")&amp;F72, wilayahfix!$A:$D, 2, 0), ""), user!$B:$D, 3, 0), ""))</f>
        <v/>
      </c>
    </row>
    <row r="73" spans="10:11" x14ac:dyDescent="0.25">
      <c r="J73" s="39"/>
      <c r="K73" s="39"/>
    </row>
    <row r="74" spans="10:11" x14ac:dyDescent="0.25">
      <c r="J74" s="39" t="str">
        <f>IF(E74="", "", IFERROR(VLOOKUP(IFERROR(VLOOKUP(SUBSTITUTE(E74,"DS ","")&amp;F74, wilayahfix!$A:$D, 2, 0), ""), user!$B:$D, 2, 0), "TIDAK KETEMU"))</f>
        <v/>
      </c>
      <c r="K74" s="39" t="str">
        <f>IF(E74="", "", IFERROR(VLOOKUP(IFERROR(VLOOKUP(SUBSTITUTE(E74,"DS ","")&amp;F74, wilayahfix!$A:$D, 2, 0), ""), user!$B:$D, 3, 0), ""))</f>
        <v/>
      </c>
    </row>
    <row r="75" spans="10:11" x14ac:dyDescent="0.25">
      <c r="J75" s="39"/>
      <c r="K75" s="39"/>
    </row>
    <row r="76" spans="10:11" x14ac:dyDescent="0.25">
      <c r="J76" s="39" t="str">
        <f>IF(E76="", "", IFERROR(VLOOKUP(IFERROR(VLOOKUP(SUBSTITUTE(E76,"DS ","")&amp;F76, wilayahfix!$A:$D, 2, 0), ""), user!$B:$D, 2, 0), "TIDAK KETEMU"))</f>
        <v/>
      </c>
      <c r="K76" s="39" t="str">
        <f>IF(E76="", "", IFERROR(VLOOKUP(IFERROR(VLOOKUP(SUBSTITUTE(E76,"DS ","")&amp;F76, wilayahfix!$A:$D, 2, 0), ""), user!$B:$D, 3, 0), ""))</f>
        <v/>
      </c>
    </row>
    <row r="77" spans="10:11" x14ac:dyDescent="0.25">
      <c r="J77" s="39"/>
      <c r="K77" s="39"/>
    </row>
    <row r="78" spans="10:11" x14ac:dyDescent="0.25">
      <c r="J78" s="39" t="str">
        <f>IF(E78="", "", IFERROR(VLOOKUP(IFERROR(VLOOKUP(SUBSTITUTE(E78,"DS ","")&amp;F78, wilayahfix!$A:$D, 2, 0), ""), user!$B:$D, 2, 0), "TIDAK KETEMU"))</f>
        <v/>
      </c>
      <c r="K78" s="39" t="str">
        <f>IF(E78="", "", IFERROR(VLOOKUP(IFERROR(VLOOKUP(SUBSTITUTE(E78,"DS ","")&amp;F78, wilayahfix!$A:$D, 2, 0), ""), user!$B:$D, 3, 0), ""))</f>
        <v/>
      </c>
    </row>
    <row r="79" spans="10:11" x14ac:dyDescent="0.25">
      <c r="J79" s="39"/>
      <c r="K79" s="39"/>
    </row>
    <row r="80" spans="10:11" x14ac:dyDescent="0.25">
      <c r="J80" s="39" t="str">
        <f>IF(E80="", "", IFERROR(VLOOKUP(IFERROR(VLOOKUP(SUBSTITUTE(E80,"DS ","")&amp;F80, wilayahfix!$A:$D, 2, 0), ""), user!$B:$D, 2, 0), "TIDAK KETEMU"))</f>
        <v/>
      </c>
      <c r="K80" s="39" t="str">
        <f>IF(E80="", "", IFERROR(VLOOKUP(IFERROR(VLOOKUP(SUBSTITUTE(E80,"DS ","")&amp;F80, wilayahfix!$A:$D, 2, 0), ""), user!$B:$D, 3, 0), ""))</f>
        <v/>
      </c>
    </row>
    <row r="81" spans="10:11" x14ac:dyDescent="0.25">
      <c r="J81" s="39"/>
      <c r="K81" s="39"/>
    </row>
    <row r="82" spans="10:11" x14ac:dyDescent="0.25">
      <c r="J82" s="39" t="str">
        <f>IF(E82="", "", IFERROR(VLOOKUP(IFERROR(VLOOKUP(SUBSTITUTE(E82,"DS ","")&amp;F82, wilayahfix!$A:$D, 2, 0), ""), user!$B:$D, 2, 0), "TIDAK KETEMU"))</f>
        <v/>
      </c>
      <c r="K82" s="39" t="str">
        <f>IF(E82="", "", IFERROR(VLOOKUP(IFERROR(VLOOKUP(SUBSTITUTE(E82,"DS ","")&amp;F82, wilayahfix!$A:$D, 2, 0), ""), user!$B:$D, 3, 0), ""))</f>
        <v/>
      </c>
    </row>
    <row r="83" spans="10:11" x14ac:dyDescent="0.25">
      <c r="J83" s="39"/>
      <c r="K83" s="39"/>
    </row>
    <row r="84" spans="10:11" x14ac:dyDescent="0.25">
      <c r="J84" s="39" t="str">
        <f>IF(E84="", "", IFERROR(VLOOKUP(IFERROR(VLOOKUP(SUBSTITUTE(E84,"DS ","")&amp;F84, wilayahfix!$A:$D, 2, 0), ""), user!$B:$D, 2, 0), "TIDAK KETEMU"))</f>
        <v/>
      </c>
      <c r="K84" s="39" t="str">
        <f>IF(E84="", "", IFERROR(VLOOKUP(IFERROR(VLOOKUP(SUBSTITUTE(E84,"DS ","")&amp;F84, wilayahfix!$A:$D, 2, 0), ""), user!$B:$D, 3, 0), ""))</f>
        <v/>
      </c>
    </row>
    <row r="85" spans="10:11" x14ac:dyDescent="0.25">
      <c r="J85" s="39"/>
      <c r="K85" s="39"/>
    </row>
    <row r="86" spans="10:11" x14ac:dyDescent="0.25">
      <c r="J86" s="39" t="str">
        <f>IF(E86="", "", IFERROR(VLOOKUP(IFERROR(VLOOKUP(SUBSTITUTE(E86,"DS ","")&amp;F86, wilayahfix!$A:$D, 2, 0), ""), user!$B:$D, 2, 0), "TIDAK KETEMU"))</f>
        <v/>
      </c>
      <c r="K86" s="39" t="str">
        <f>IF(E86="", "", IFERROR(VLOOKUP(IFERROR(VLOOKUP(SUBSTITUTE(E86,"DS ","")&amp;F86, wilayahfix!$A:$D, 2, 0), ""), user!$B:$D, 3, 0), ""))</f>
        <v/>
      </c>
    </row>
    <row r="87" spans="10:11" x14ac:dyDescent="0.25">
      <c r="J87" s="39"/>
      <c r="K87" s="39"/>
    </row>
    <row r="88" spans="10:11" x14ac:dyDescent="0.25">
      <c r="J88" s="39" t="str">
        <f>IF(E88="", "", IFERROR(VLOOKUP(IFERROR(VLOOKUP(SUBSTITUTE(E88,"DS ","")&amp;F88, wilayahfix!$A:$D, 2, 0), ""), user!$B:$D, 2, 0), "TIDAK KETEMU"))</f>
        <v/>
      </c>
      <c r="K88" s="39" t="str">
        <f>IF(E88="", "", IFERROR(VLOOKUP(IFERROR(VLOOKUP(SUBSTITUTE(E88,"DS ","")&amp;F88, wilayahfix!$A:$D, 2, 0), ""), user!$B:$D, 3, 0), ""))</f>
        <v/>
      </c>
    </row>
    <row r="89" spans="10:11" x14ac:dyDescent="0.25">
      <c r="J89" s="39"/>
      <c r="K89" s="39"/>
    </row>
    <row r="90" spans="10:11" x14ac:dyDescent="0.25">
      <c r="J90" s="39" t="str">
        <f>IF(E90="", "", IFERROR(VLOOKUP(IFERROR(VLOOKUP(SUBSTITUTE(E90,"DS ","")&amp;F90, wilayahfix!$A:$D, 2, 0), ""), user!$B:$D, 2, 0), "TIDAK KETEMU"))</f>
        <v/>
      </c>
      <c r="K90" s="39" t="str">
        <f>IF(E90="", "", IFERROR(VLOOKUP(IFERROR(VLOOKUP(SUBSTITUTE(E90,"DS ","")&amp;F90, wilayahfix!$A:$D, 2, 0), ""), user!$B:$D, 3, 0), ""))</f>
        <v/>
      </c>
    </row>
    <row r="91" spans="10:11" x14ac:dyDescent="0.25">
      <c r="J91" s="39"/>
      <c r="K91" s="39"/>
    </row>
    <row r="92" spans="10:11" x14ac:dyDescent="0.25">
      <c r="J92" s="39" t="str">
        <f>IF(E92="", "", IFERROR(VLOOKUP(IFERROR(VLOOKUP(SUBSTITUTE(E92,"DS ","")&amp;F92, wilayahfix!$A:$D, 2, 0), ""), user!$B:$D, 2, 0), "TIDAK KETEMU"))</f>
        <v/>
      </c>
      <c r="K92" s="39" t="str">
        <f>IF(E92="", "", IFERROR(VLOOKUP(IFERROR(VLOOKUP(SUBSTITUTE(E92,"DS ","")&amp;F92, wilayahfix!$A:$D, 2, 0), ""), user!$B:$D, 3, 0), ""))</f>
        <v/>
      </c>
    </row>
    <row r="93" spans="10:11" x14ac:dyDescent="0.25">
      <c r="J93" s="39"/>
      <c r="K93" s="39"/>
    </row>
    <row r="94" spans="10:11" x14ac:dyDescent="0.25">
      <c r="J94" s="39" t="str">
        <f>IF(E94="", "", IFERROR(VLOOKUP(IFERROR(VLOOKUP(SUBSTITUTE(E94,"DS ","")&amp;F94, wilayahfix!$A:$D, 2, 0), ""), user!$B:$D, 2, 0), "TIDAK KETEMU"))</f>
        <v/>
      </c>
      <c r="K94" s="39" t="str">
        <f>IF(E94="", "", IFERROR(VLOOKUP(IFERROR(VLOOKUP(SUBSTITUTE(E94,"DS ","")&amp;F94, wilayahfix!$A:$D, 2, 0), ""), user!$B:$D, 3, 0), ""))</f>
        <v/>
      </c>
    </row>
    <row r="95" spans="10:11" x14ac:dyDescent="0.25">
      <c r="J95" s="39"/>
      <c r="K95" s="39"/>
    </row>
    <row r="96" spans="10:11" x14ac:dyDescent="0.25">
      <c r="J96" s="39" t="str">
        <f>IF(E96="", "", IFERROR(VLOOKUP(IFERROR(VLOOKUP(SUBSTITUTE(E96,"DS ","")&amp;F96, wilayahfix!$A:$D, 2, 0), ""), user!$B:$D, 2, 0), "TIDAK KETEMU"))</f>
        <v/>
      </c>
      <c r="K96" s="39" t="str">
        <f>IF(E96="", "", IFERROR(VLOOKUP(IFERROR(VLOOKUP(SUBSTITUTE(E96,"DS ","")&amp;F96, wilayahfix!$A:$D, 2, 0), ""), user!$B:$D, 3, 0), ""))</f>
        <v/>
      </c>
    </row>
    <row r="97" spans="10:11" x14ac:dyDescent="0.25">
      <c r="J97" s="39"/>
      <c r="K97" s="39"/>
    </row>
    <row r="98" spans="10:11" x14ac:dyDescent="0.25">
      <c r="J98" s="39" t="str">
        <f>IF(E98="", "", IFERROR(VLOOKUP(IFERROR(VLOOKUP(SUBSTITUTE(E98,"DS ","")&amp;F98, wilayahfix!$A:$D, 2, 0), ""), user!$B:$D, 2, 0), "TIDAK KETEMU"))</f>
        <v/>
      </c>
      <c r="K98" s="39" t="str">
        <f>IF(E98="", "", IFERROR(VLOOKUP(IFERROR(VLOOKUP(SUBSTITUTE(E98,"DS ","")&amp;F98, wilayahfix!$A:$D, 2, 0), ""), user!$B:$D, 3, 0), ""))</f>
        <v/>
      </c>
    </row>
    <row r="99" spans="10:11" x14ac:dyDescent="0.25">
      <c r="J99" s="39"/>
      <c r="K99" s="39"/>
    </row>
    <row r="100" spans="10:11" x14ac:dyDescent="0.25">
      <c r="J100" s="39" t="str">
        <f>IF(E100="", "", IFERROR(VLOOKUP(IFERROR(VLOOKUP(SUBSTITUTE(E100,"DS ","")&amp;F100, wilayahfix!$A:$D, 2, 0), ""), user!$B:$D, 2, 0), "TIDAK KETEMU"))</f>
        <v/>
      </c>
      <c r="K100" s="39" t="str">
        <f>IF(E100="", "", IFERROR(VLOOKUP(IFERROR(VLOOKUP(SUBSTITUTE(E100,"DS ","")&amp;F100, wilayahfix!$A:$D, 2, 0), ""), user!$B:$D, 3, 0), ""))</f>
        <v/>
      </c>
    </row>
    <row r="101" spans="10:11" x14ac:dyDescent="0.25">
      <c r="J101" s="39"/>
      <c r="K101" s="39"/>
    </row>
    <row r="102" spans="10:11" x14ac:dyDescent="0.25">
      <c r="J102" s="39" t="str">
        <f>IF(E102="", "", IFERROR(VLOOKUP(IFERROR(VLOOKUP(SUBSTITUTE(E102,"DS ","")&amp;F102, wilayahfix!$A:$D, 2, 0), ""), user!$B:$D, 2, 0), "TIDAK KETEMU"))</f>
        <v/>
      </c>
      <c r="K102" s="39" t="str">
        <f>IF(E102="", "", IFERROR(VLOOKUP(IFERROR(VLOOKUP(SUBSTITUTE(E102,"DS ","")&amp;F102, wilayahfix!$A:$D, 2, 0), ""), user!$B:$D, 3, 0), ""))</f>
        <v/>
      </c>
    </row>
    <row r="103" spans="10:11" x14ac:dyDescent="0.25">
      <c r="J103" s="39"/>
      <c r="K103" s="39"/>
    </row>
    <row r="104" spans="10:11" x14ac:dyDescent="0.25">
      <c r="J104" s="39" t="str">
        <f>IF(E104="", "", IFERROR(VLOOKUP(IFERROR(VLOOKUP(SUBSTITUTE(E104,"DS ","")&amp;F104, wilayahfix!$A:$D, 2, 0), ""), user!$B:$D, 2, 0), "TIDAK KETEMU"))</f>
        <v/>
      </c>
      <c r="K104" s="39" t="str">
        <f>IF(E104="", "", IFERROR(VLOOKUP(IFERROR(VLOOKUP(SUBSTITUTE(E104,"DS ","")&amp;F104, wilayahfix!$A:$D, 2, 0), ""), user!$B:$D, 3, 0), ""))</f>
        <v/>
      </c>
    </row>
    <row r="105" spans="10:11" x14ac:dyDescent="0.25">
      <c r="J105" s="39"/>
      <c r="K105" s="39"/>
    </row>
    <row r="106" spans="10:11" x14ac:dyDescent="0.25">
      <c r="J106" s="39" t="str">
        <f>IF(E106="", "", IFERROR(VLOOKUP(IFERROR(VLOOKUP(SUBSTITUTE(E106,"DS ","")&amp;F106, wilayahfix!$A:$D, 2, 0), ""), user!$B:$D, 2, 0), "TIDAK KETEMU"))</f>
        <v/>
      </c>
      <c r="K106" s="39" t="str">
        <f>IF(E106="", "", IFERROR(VLOOKUP(IFERROR(VLOOKUP(SUBSTITUTE(E106,"DS ","")&amp;F106, wilayahfix!$A:$D, 2, 0), ""), user!$B:$D, 3, 0), ""))</f>
        <v/>
      </c>
    </row>
    <row r="107" spans="10:11" x14ac:dyDescent="0.25">
      <c r="J107" s="39"/>
      <c r="K107" s="39"/>
    </row>
    <row r="108" spans="10:11" x14ac:dyDescent="0.25">
      <c r="J108" s="39" t="str">
        <f>IF(E108="", "", IFERROR(VLOOKUP(IFERROR(VLOOKUP(SUBSTITUTE(E108,"DS ","")&amp;F108, wilayahfix!$A:$D, 2, 0), ""), user!$B:$D, 2, 0), "TIDAK KETEMU"))</f>
        <v/>
      </c>
      <c r="K108" s="39" t="str">
        <f>IF(E108="", "", IFERROR(VLOOKUP(IFERROR(VLOOKUP(SUBSTITUTE(E108,"DS ","")&amp;F108, wilayahfix!$A:$D, 2, 0), ""), user!$B:$D, 3, 0), ""))</f>
        <v/>
      </c>
    </row>
    <row r="109" spans="10:11" x14ac:dyDescent="0.25">
      <c r="J109" s="39"/>
      <c r="K109" s="39"/>
    </row>
    <row r="110" spans="10:11" x14ac:dyDescent="0.25">
      <c r="J110" s="39" t="str">
        <f>IF(E110="", "", IFERROR(VLOOKUP(IFERROR(VLOOKUP(SUBSTITUTE(E110,"DS ","")&amp;F110, wilayahfix!$A:$D, 2, 0), ""), user!$B:$D, 2, 0), "TIDAK KETEMU"))</f>
        <v/>
      </c>
      <c r="K110" s="39" t="str">
        <f>IF(E110="", "", IFERROR(VLOOKUP(IFERROR(VLOOKUP(SUBSTITUTE(E110,"DS ","")&amp;F110, wilayahfix!$A:$D, 2, 0), ""), user!$B:$D, 3, 0), ""))</f>
        <v/>
      </c>
    </row>
    <row r="111" spans="10:11" x14ac:dyDescent="0.25">
      <c r="J111" s="39"/>
      <c r="K111" s="39"/>
    </row>
    <row r="112" spans="10:11" x14ac:dyDescent="0.25">
      <c r="J112" s="39" t="str">
        <f>IF(E112="", "", IFERROR(VLOOKUP(IFERROR(VLOOKUP(SUBSTITUTE(E112,"DS ","")&amp;F112, wilayahfix!$A:$D, 2, 0), ""), user!$B:$D, 2, 0), "TIDAK KETEMU"))</f>
        <v/>
      </c>
      <c r="K112" s="39" t="str">
        <f>IF(E112="", "", IFERROR(VLOOKUP(IFERROR(VLOOKUP(SUBSTITUTE(E112,"DS ","")&amp;F112, wilayahfix!$A:$D, 2, 0), ""), user!$B:$D, 3, 0), ""))</f>
        <v/>
      </c>
    </row>
    <row r="113" spans="10:11" x14ac:dyDescent="0.25">
      <c r="J113" s="39"/>
      <c r="K113" s="39"/>
    </row>
    <row r="114" spans="10:11" x14ac:dyDescent="0.25">
      <c r="J114" s="39" t="str">
        <f>IF(E114="", "", IFERROR(VLOOKUP(IFERROR(VLOOKUP(SUBSTITUTE(E114,"DS ","")&amp;F114, wilayahfix!$A:$D, 2, 0), ""), user!$B:$D, 2, 0), "TIDAK KETEMU"))</f>
        <v/>
      </c>
      <c r="K114" s="39" t="str">
        <f>IF(E114="", "", IFERROR(VLOOKUP(IFERROR(VLOOKUP(SUBSTITUTE(E114,"DS ","")&amp;F114, wilayahfix!$A:$D, 2, 0), ""), user!$B:$D, 3, 0), ""))</f>
        <v/>
      </c>
    </row>
    <row r="115" spans="10:11" x14ac:dyDescent="0.25">
      <c r="J115" s="39"/>
      <c r="K115" s="39"/>
    </row>
    <row r="116" spans="10:11" x14ac:dyDescent="0.25">
      <c r="J116" s="39" t="str">
        <f>IF(E116="", "", IFERROR(VLOOKUP(IFERROR(VLOOKUP(SUBSTITUTE(E116,"DS ","")&amp;F116, wilayahfix!$A:$D, 2, 0), ""), user!$B:$D, 2, 0), "TIDAK KETEMU"))</f>
        <v/>
      </c>
      <c r="K116" s="39" t="str">
        <f>IF(E116="", "", IFERROR(VLOOKUP(IFERROR(VLOOKUP(SUBSTITUTE(E116,"DS ","")&amp;F116, wilayahfix!$A:$D, 2, 0), ""), user!$B:$D, 3, 0), ""))</f>
        <v/>
      </c>
    </row>
    <row r="117" spans="10:11" x14ac:dyDescent="0.25">
      <c r="J117" s="39"/>
      <c r="K117" s="39"/>
    </row>
    <row r="118" spans="10:11" x14ac:dyDescent="0.25">
      <c r="J118" s="39" t="str">
        <f>IF(E118="", "", IFERROR(VLOOKUP(IFERROR(VLOOKUP(SUBSTITUTE(E118,"DS ","")&amp;F118, wilayahfix!$A:$D, 2, 0), ""), user!$B:$D, 2, 0), "TIDAK KETEMU"))</f>
        <v/>
      </c>
      <c r="K118" s="39" t="str">
        <f>IF(E118="", "", IFERROR(VLOOKUP(IFERROR(VLOOKUP(SUBSTITUTE(E118,"DS ","")&amp;F118, wilayahfix!$A:$D, 2, 0), ""), user!$B:$D, 3, 0), ""))</f>
        <v/>
      </c>
    </row>
    <row r="119" spans="10:11" x14ac:dyDescent="0.25">
      <c r="J119" s="39"/>
      <c r="K119" s="39"/>
    </row>
    <row r="120" spans="10:11" x14ac:dyDescent="0.25">
      <c r="J120" s="39" t="str">
        <f>IF(E120="", "", IFERROR(VLOOKUP(IFERROR(VLOOKUP(SUBSTITUTE(E120,"DS ","")&amp;F120, wilayahfix!$A:$D, 2, 0), ""), user!$B:$D, 2, 0), "TIDAK KETEMU"))</f>
        <v/>
      </c>
      <c r="K120" s="39" t="str">
        <f>IF(E120="", "", IFERROR(VLOOKUP(IFERROR(VLOOKUP(SUBSTITUTE(E120,"DS ","")&amp;F120, wilayahfix!$A:$D, 2, 0), ""), user!$B:$D, 3, 0), ""))</f>
        <v/>
      </c>
    </row>
    <row r="121" spans="10:11" x14ac:dyDescent="0.25">
      <c r="J121" s="39"/>
      <c r="K121" s="39"/>
    </row>
    <row r="122" spans="10:11" x14ac:dyDescent="0.25">
      <c r="J122" s="39" t="str">
        <f>IF(E122="", "", IFERROR(VLOOKUP(IFERROR(VLOOKUP(SUBSTITUTE(E122,"DS ","")&amp;F122, wilayahfix!$A:$D, 2, 0), ""), user!$B:$D, 2, 0), "TIDAK KETEMU"))</f>
        <v/>
      </c>
      <c r="K122" s="39" t="str">
        <f>IF(E122="", "", IFERROR(VLOOKUP(IFERROR(VLOOKUP(SUBSTITUTE(E122,"DS ","")&amp;F122, wilayahfix!$A:$D, 2, 0), ""), user!$B:$D, 3, 0), ""))</f>
        <v/>
      </c>
    </row>
    <row r="123" spans="10:11" x14ac:dyDescent="0.25">
      <c r="J123" s="39"/>
      <c r="K123" s="39"/>
    </row>
    <row r="124" spans="10:11" x14ac:dyDescent="0.25">
      <c r="J124" s="39" t="str">
        <f>IF(E124="", "", IFERROR(VLOOKUP(IFERROR(VLOOKUP(SUBSTITUTE(E124,"DS ","")&amp;F124, wilayahfix!$A:$D, 2, 0), ""), user!$B:$D, 2, 0), "TIDAK KETEMU"))</f>
        <v/>
      </c>
      <c r="K124" s="39" t="str">
        <f>IF(E124="", "", IFERROR(VLOOKUP(IFERROR(VLOOKUP(SUBSTITUTE(E124,"DS ","")&amp;F124, wilayahfix!$A:$D, 2, 0), ""), user!$B:$D, 3, 0), ""))</f>
        <v/>
      </c>
    </row>
    <row r="125" spans="10:11" x14ac:dyDescent="0.25">
      <c r="J125" s="39"/>
      <c r="K125" s="39"/>
    </row>
    <row r="126" spans="10:11" x14ac:dyDescent="0.25">
      <c r="J126" s="39" t="str">
        <f>IF(E126="", "", IFERROR(VLOOKUP(IFERROR(VLOOKUP(SUBSTITUTE(E126,"DS ","")&amp;F126, wilayahfix!$A:$D, 2, 0), ""), user!$B:$D, 2, 0), "TIDAK KETEMU"))</f>
        <v/>
      </c>
      <c r="K126" s="39" t="str">
        <f>IF(E126="", "", IFERROR(VLOOKUP(IFERROR(VLOOKUP(SUBSTITUTE(E126,"DS ","")&amp;F126, wilayahfix!$A:$D, 2, 0), ""), user!$B:$D, 3, 0), ""))</f>
        <v/>
      </c>
    </row>
    <row r="127" spans="10:11" x14ac:dyDescent="0.25">
      <c r="J127" s="39"/>
      <c r="K127" s="39"/>
    </row>
    <row r="128" spans="10:11" x14ac:dyDescent="0.25">
      <c r="J128" s="39" t="str">
        <f>IF(E128="", "", IFERROR(VLOOKUP(IFERROR(VLOOKUP(SUBSTITUTE(E128,"DS ","")&amp;F128, wilayahfix!$A:$D, 2, 0), ""), user!$B:$D, 2, 0), "TIDAK KETEMU"))</f>
        <v/>
      </c>
      <c r="K128" s="39" t="str">
        <f>IF(E128="", "", IFERROR(VLOOKUP(IFERROR(VLOOKUP(SUBSTITUTE(E128,"DS ","")&amp;F128, wilayahfix!$A:$D, 2, 0), ""), user!$B:$D, 3, 0), ""))</f>
        <v/>
      </c>
    </row>
    <row r="129" spans="10:11" x14ac:dyDescent="0.25">
      <c r="J129" s="39"/>
      <c r="K129" s="39"/>
    </row>
    <row r="130" spans="10:11" x14ac:dyDescent="0.25">
      <c r="J130" s="39" t="str">
        <f>IF(E130="", "", IFERROR(VLOOKUP(IFERROR(VLOOKUP(SUBSTITUTE(E130,"DS ","")&amp;F130, wilayahfix!$A:$D, 2, 0), ""), user!$B:$D, 2, 0), "TIDAK KETEMU"))</f>
        <v/>
      </c>
      <c r="K130" s="39" t="str">
        <f>IF(E130="", "", IFERROR(VLOOKUP(IFERROR(VLOOKUP(SUBSTITUTE(E130,"DS ","")&amp;F130, wilayahfix!$A:$D, 2, 0), ""), user!$B:$D, 3, 0), ""))</f>
        <v/>
      </c>
    </row>
    <row r="131" spans="10:11" x14ac:dyDescent="0.25">
      <c r="J131" s="39"/>
      <c r="K131" s="39"/>
    </row>
    <row r="132" spans="10:11" x14ac:dyDescent="0.25">
      <c r="J132" s="39" t="str">
        <f>IF(E132="", "", IFERROR(VLOOKUP(IFERROR(VLOOKUP(SUBSTITUTE(E132,"DS ","")&amp;F132, wilayahfix!$A:$D, 2, 0), ""), user!$B:$D, 2, 0), "TIDAK KETEMU"))</f>
        <v/>
      </c>
      <c r="K132" s="39" t="str">
        <f>IF(E132="", "", IFERROR(VLOOKUP(IFERROR(VLOOKUP(SUBSTITUTE(E132,"DS ","")&amp;F132, wilayahfix!$A:$D, 2, 0), ""), user!$B:$D, 3, 0), ""))</f>
        <v/>
      </c>
    </row>
    <row r="133" spans="10:11" x14ac:dyDescent="0.25">
      <c r="J133" s="39"/>
      <c r="K133" s="39"/>
    </row>
    <row r="134" spans="10:11" x14ac:dyDescent="0.25">
      <c r="J134" s="39" t="str">
        <f>IF(E134="", "", IFERROR(VLOOKUP(IFERROR(VLOOKUP(SUBSTITUTE(E134,"DS ","")&amp;F134, wilayahfix!$A:$D, 2, 0), ""), user!$B:$D, 2, 0), "TIDAK KETEMU"))</f>
        <v/>
      </c>
      <c r="K134" s="39" t="str">
        <f>IF(E134="", "", IFERROR(VLOOKUP(IFERROR(VLOOKUP(SUBSTITUTE(E134,"DS ","")&amp;F134, wilayahfix!$A:$D, 2, 0), ""), user!$B:$D, 3, 0), ""))</f>
        <v/>
      </c>
    </row>
    <row r="135" spans="10:11" x14ac:dyDescent="0.25">
      <c r="J135" s="39"/>
      <c r="K135" s="39"/>
    </row>
    <row r="136" spans="10:11" x14ac:dyDescent="0.25">
      <c r="J136" s="39" t="str">
        <f>IF(E136="", "", IFERROR(VLOOKUP(IFERROR(VLOOKUP(SUBSTITUTE(E136,"DS ","")&amp;F136, wilayahfix!$A:$D, 2, 0), ""), user!$B:$D, 2, 0), "TIDAK KETEMU"))</f>
        <v/>
      </c>
      <c r="K136" s="39" t="str">
        <f>IF(E136="", "", IFERROR(VLOOKUP(IFERROR(VLOOKUP(SUBSTITUTE(E136,"DS ","")&amp;F136, wilayahfix!$A:$D, 2, 0), ""), user!$B:$D, 3, 0), ""))</f>
        <v/>
      </c>
    </row>
    <row r="137" spans="10:11" x14ac:dyDescent="0.25">
      <c r="J137" s="39"/>
      <c r="K137" s="39"/>
    </row>
    <row r="138" spans="10:11" x14ac:dyDescent="0.25">
      <c r="J138" s="39" t="str">
        <f>IF(E138="", "", IFERROR(VLOOKUP(IFERROR(VLOOKUP(SUBSTITUTE(E138,"DS ","")&amp;F138, wilayahfix!$A:$D, 2, 0), ""), user!$B:$D, 2, 0), "TIDAK KETEMU"))</f>
        <v/>
      </c>
      <c r="K138" s="39" t="str">
        <f>IF(E138="", "", IFERROR(VLOOKUP(IFERROR(VLOOKUP(SUBSTITUTE(E138,"DS ","")&amp;F138, wilayahfix!$A:$D, 2, 0), ""), user!$B:$D, 3, 0), ""))</f>
        <v/>
      </c>
    </row>
    <row r="139" spans="10:11" x14ac:dyDescent="0.25">
      <c r="J139" s="39"/>
      <c r="K139" s="39"/>
    </row>
    <row r="140" spans="10:11" x14ac:dyDescent="0.25">
      <c r="J140" s="39" t="str">
        <f>IF(E140="", "", IFERROR(VLOOKUP(IFERROR(VLOOKUP(SUBSTITUTE(E140,"DS ","")&amp;F140, wilayahfix!$A:$D, 2, 0), ""), user!$B:$D, 2, 0), "TIDAK KETEMU"))</f>
        <v/>
      </c>
      <c r="K140" s="39" t="str">
        <f>IF(E140="", "", IFERROR(VLOOKUP(IFERROR(VLOOKUP(SUBSTITUTE(E140,"DS ","")&amp;F140, wilayahfix!$A:$D, 2, 0), ""), user!$B:$D, 3, 0), ""))</f>
        <v/>
      </c>
    </row>
    <row r="141" spans="10:11" x14ac:dyDescent="0.25">
      <c r="J141" s="39"/>
      <c r="K141" s="39"/>
    </row>
    <row r="142" spans="10:11" x14ac:dyDescent="0.25">
      <c r="J142" s="39" t="str">
        <f>IF(E142="", "", IFERROR(VLOOKUP(IFERROR(VLOOKUP(SUBSTITUTE(E142,"DS ","")&amp;F142, wilayahfix!$A:$D, 2, 0), ""), user!$B:$D, 2, 0), "TIDAK KETEMU"))</f>
        <v/>
      </c>
      <c r="K142" s="39" t="str">
        <f>IF(E142="", "", IFERROR(VLOOKUP(IFERROR(VLOOKUP(SUBSTITUTE(E142,"DS ","")&amp;F142, wilayahfix!$A:$D, 2, 0), ""), user!$B:$D, 3, 0), ""))</f>
        <v/>
      </c>
    </row>
    <row r="143" spans="10:11" x14ac:dyDescent="0.25">
      <c r="J143" s="39"/>
      <c r="K143" s="39"/>
    </row>
    <row r="144" spans="10:11" x14ac:dyDescent="0.25">
      <c r="J144" s="39" t="str">
        <f>IF(E144="", "", IFERROR(VLOOKUP(IFERROR(VLOOKUP(SUBSTITUTE(E144,"DS ","")&amp;F144, wilayahfix!$A:$D, 2, 0), ""), user!$B:$D, 2, 0), "TIDAK KETEMU"))</f>
        <v/>
      </c>
      <c r="K144" s="39" t="str">
        <f>IF(E144="", "", IFERROR(VLOOKUP(IFERROR(VLOOKUP(SUBSTITUTE(E144,"DS ","")&amp;F144, wilayahfix!$A:$D, 2, 0), ""), user!$B:$D, 3, 0), ""))</f>
        <v/>
      </c>
    </row>
    <row r="145" spans="10:11" x14ac:dyDescent="0.25">
      <c r="J145" s="39"/>
      <c r="K145" s="39"/>
    </row>
    <row r="146" spans="10:11" x14ac:dyDescent="0.25">
      <c r="J146" s="39" t="str">
        <f>IF(E146="", "", IFERROR(VLOOKUP(IFERROR(VLOOKUP(SUBSTITUTE(E146,"DS ","")&amp;F146, wilayahfix!$A:$D, 2, 0), ""), user!$B:$D, 2, 0), "TIDAK KETEMU"))</f>
        <v/>
      </c>
      <c r="K146" s="39" t="str">
        <f>IF(E146="", "", IFERROR(VLOOKUP(IFERROR(VLOOKUP(SUBSTITUTE(E146,"DS ","")&amp;F146, wilayahfix!$A:$D, 2, 0), ""), user!$B:$D, 3, 0), ""))</f>
        <v/>
      </c>
    </row>
    <row r="147" spans="10:11" x14ac:dyDescent="0.25">
      <c r="J147" s="39"/>
      <c r="K147" s="39"/>
    </row>
    <row r="148" spans="10:11" x14ac:dyDescent="0.25">
      <c r="J148" s="39" t="str">
        <f>IF(E148="", "", IFERROR(VLOOKUP(IFERROR(VLOOKUP(SUBSTITUTE(E148,"DS ","")&amp;F148, wilayahfix!$A:$D, 2, 0), ""), user!$B:$D, 2, 0), "TIDAK KETEMU"))</f>
        <v/>
      </c>
      <c r="K148" s="39" t="str">
        <f>IF(E148="", "", IFERROR(VLOOKUP(IFERROR(VLOOKUP(SUBSTITUTE(E148,"DS ","")&amp;F148, wilayahfix!$A:$D, 2, 0), ""), user!$B:$D, 3, 0), ""))</f>
        <v/>
      </c>
    </row>
    <row r="149" spans="10:11" x14ac:dyDescent="0.25">
      <c r="J149" s="39"/>
      <c r="K149" s="39"/>
    </row>
    <row r="150" spans="10:11" x14ac:dyDescent="0.25">
      <c r="J150" s="39" t="str">
        <f>IF(E150="", "", IFERROR(VLOOKUP(IFERROR(VLOOKUP(SUBSTITUTE(E150,"DS ","")&amp;F150, wilayahfix!$A:$D, 2, 0), ""), user!$B:$D, 2, 0), "TIDAK KETEMU"))</f>
        <v/>
      </c>
      <c r="K150" s="39" t="str">
        <f>IF(E150="", "", IFERROR(VLOOKUP(IFERROR(VLOOKUP(SUBSTITUTE(E150,"DS ","")&amp;F150, wilayahfix!$A:$D, 2, 0), ""), user!$B:$D, 3, 0), ""))</f>
        <v/>
      </c>
    </row>
    <row r="151" spans="10:11" x14ac:dyDescent="0.25">
      <c r="J151" s="39"/>
      <c r="K151" s="39"/>
    </row>
    <row r="152" spans="10:11" x14ac:dyDescent="0.25">
      <c r="J152" s="39" t="str">
        <f>IF(E152="", "", IFERROR(VLOOKUP(IFERROR(VLOOKUP(SUBSTITUTE(E152,"DS ","")&amp;F152, wilayahfix!$A:$D, 2, 0), ""), user!$B:$D, 2, 0), "TIDAK KETEMU"))</f>
        <v/>
      </c>
      <c r="K152" s="39" t="str">
        <f>IF(E152="", "", IFERROR(VLOOKUP(IFERROR(VLOOKUP(SUBSTITUTE(E152,"DS ","")&amp;F152, wilayahfix!$A:$D, 2, 0), ""), user!$B:$D, 3, 0), ""))</f>
        <v/>
      </c>
    </row>
    <row r="153" spans="10:11" x14ac:dyDescent="0.25">
      <c r="J153" s="39"/>
      <c r="K153" s="39"/>
    </row>
    <row r="154" spans="10:11" x14ac:dyDescent="0.25">
      <c r="J154" s="39" t="str">
        <f>IF(E154="", "", IFERROR(VLOOKUP(IFERROR(VLOOKUP(SUBSTITUTE(E154,"DS ","")&amp;F154, wilayahfix!$A:$D, 2, 0), ""), user!$B:$D, 2, 0), "TIDAK KETEMU"))</f>
        <v/>
      </c>
      <c r="K154" s="39" t="str">
        <f>IF(E154="", "", IFERROR(VLOOKUP(IFERROR(VLOOKUP(SUBSTITUTE(E154,"DS ","")&amp;F154, wilayahfix!$A:$D, 2, 0), ""), user!$B:$D, 3, 0), ""))</f>
        <v/>
      </c>
    </row>
    <row r="155" spans="10:11" x14ac:dyDescent="0.25">
      <c r="J155" s="39"/>
      <c r="K155" s="39"/>
    </row>
    <row r="156" spans="10:11" x14ac:dyDescent="0.25">
      <c r="J156" s="39" t="str">
        <f>IF(E156="", "", IFERROR(VLOOKUP(IFERROR(VLOOKUP(SUBSTITUTE(E156,"DS ","")&amp;F156, wilayahfix!$A:$D, 2, 0), ""), user!$B:$D, 2, 0), "TIDAK KETEMU"))</f>
        <v/>
      </c>
      <c r="K156" s="39" t="str">
        <f>IF(E156="", "", IFERROR(VLOOKUP(IFERROR(VLOOKUP(SUBSTITUTE(E156,"DS ","")&amp;F156, wilayahfix!$A:$D, 2, 0), ""), user!$B:$D, 3, 0), ""))</f>
        <v/>
      </c>
    </row>
    <row r="157" spans="10:11" x14ac:dyDescent="0.25">
      <c r="J157" s="39"/>
      <c r="K157" s="39"/>
    </row>
    <row r="158" spans="10:11" x14ac:dyDescent="0.25">
      <c r="J158" s="39" t="str">
        <f>IF(E158="", "", IFERROR(VLOOKUP(IFERROR(VLOOKUP(SUBSTITUTE(E158,"DS ","")&amp;F158, wilayahfix!$A:$D, 2, 0), ""), user!$B:$D, 2, 0), "TIDAK KETEMU"))</f>
        <v/>
      </c>
      <c r="K158" s="39" t="str">
        <f>IF(E158="", "", IFERROR(VLOOKUP(IFERROR(VLOOKUP(SUBSTITUTE(E158,"DS ","")&amp;F158, wilayahfix!$A:$D, 2, 0), ""), user!$B:$D, 3, 0), ""))</f>
        <v/>
      </c>
    </row>
    <row r="159" spans="10:11" x14ac:dyDescent="0.25">
      <c r="J159" s="39"/>
      <c r="K159" s="39"/>
    </row>
    <row r="160" spans="10:11" x14ac:dyDescent="0.25">
      <c r="J160" s="39" t="str">
        <f>IF(E160="", "", IFERROR(VLOOKUP(IFERROR(VLOOKUP(SUBSTITUTE(E160,"DS ","")&amp;F160, wilayahfix!$A:$D, 2, 0), ""), user!$B:$D, 2, 0), "TIDAK KETEMU"))</f>
        <v/>
      </c>
      <c r="K160" s="39" t="str">
        <f>IF(E160="", "", IFERROR(VLOOKUP(IFERROR(VLOOKUP(SUBSTITUTE(E160,"DS ","")&amp;F160, wilayahfix!$A:$D, 2, 0), ""), user!$B:$D, 3, 0), ""))</f>
        <v/>
      </c>
    </row>
    <row r="161" spans="10:11" x14ac:dyDescent="0.25">
      <c r="J161" s="39"/>
      <c r="K161" s="39"/>
    </row>
    <row r="162" spans="10:11" x14ac:dyDescent="0.25">
      <c r="J162" s="39" t="str">
        <f>IF(E162="", "", IFERROR(VLOOKUP(IFERROR(VLOOKUP(SUBSTITUTE(E162,"DS ","")&amp;F162, wilayahfix!$A:$D, 2, 0), ""), user!$B:$D, 2, 0), "TIDAK KETEMU"))</f>
        <v/>
      </c>
      <c r="K162" s="39" t="str">
        <f>IF(E162="", "", IFERROR(VLOOKUP(IFERROR(VLOOKUP(SUBSTITUTE(E162,"DS ","")&amp;F162, wilayahfix!$A:$D, 2, 0), ""), user!$B:$D, 3, 0), ""))</f>
        <v/>
      </c>
    </row>
    <row r="163" spans="10:11" x14ac:dyDescent="0.25">
      <c r="J163" s="39"/>
      <c r="K163" s="39"/>
    </row>
    <row r="164" spans="10:11" x14ac:dyDescent="0.25">
      <c r="J164" s="39" t="str">
        <f>IF(E164="", "", IFERROR(VLOOKUP(IFERROR(VLOOKUP(SUBSTITUTE(E164,"DS ","")&amp;F164, wilayahfix!$A:$D, 2, 0), ""), user!$B:$D, 2, 0), "TIDAK KETEMU"))</f>
        <v/>
      </c>
      <c r="K164" s="39" t="str">
        <f>IF(E164="", "", IFERROR(VLOOKUP(IFERROR(VLOOKUP(SUBSTITUTE(E164,"DS ","")&amp;F164, wilayahfix!$A:$D, 2, 0), ""), user!$B:$D, 3, 0), ""))</f>
        <v/>
      </c>
    </row>
    <row r="165" spans="10:11" x14ac:dyDescent="0.25">
      <c r="J165" s="39"/>
      <c r="K165" s="39"/>
    </row>
    <row r="166" spans="10:11" x14ac:dyDescent="0.25">
      <c r="J166" s="39" t="str">
        <f>IF(E166="", "", IFERROR(VLOOKUP(IFERROR(VLOOKUP(SUBSTITUTE(E166,"DS ","")&amp;F166, wilayahfix!$A:$D, 2, 0), ""), user!$B:$D, 2, 0), "TIDAK KETEMU"))</f>
        <v/>
      </c>
      <c r="K166" s="39" t="str">
        <f>IF(E166="", "", IFERROR(VLOOKUP(IFERROR(VLOOKUP(SUBSTITUTE(E166,"DS ","")&amp;F166, wilayahfix!$A:$D, 2, 0), ""), user!$B:$D, 3, 0), ""))</f>
        <v/>
      </c>
    </row>
    <row r="167" spans="10:11" x14ac:dyDescent="0.25">
      <c r="J167" s="39"/>
      <c r="K167" s="39"/>
    </row>
    <row r="168" spans="10:11" x14ac:dyDescent="0.25">
      <c r="J168" s="39" t="str">
        <f>IF(E168="", "", IFERROR(VLOOKUP(IFERROR(VLOOKUP(SUBSTITUTE(E168,"DS ","")&amp;F168, wilayahfix!$A:$D, 2, 0), ""), user!$B:$D, 2, 0), "TIDAK KETEMU"))</f>
        <v/>
      </c>
      <c r="K168" s="39" t="str">
        <f>IF(E168="", "", IFERROR(VLOOKUP(IFERROR(VLOOKUP(SUBSTITUTE(E168,"DS ","")&amp;F168, wilayahfix!$A:$D, 2, 0), ""), user!$B:$D, 3, 0), ""))</f>
        <v/>
      </c>
    </row>
    <row r="169" spans="10:11" x14ac:dyDescent="0.25">
      <c r="J169" s="39"/>
      <c r="K169" s="39"/>
    </row>
    <row r="170" spans="10:11" x14ac:dyDescent="0.25">
      <c r="J170" s="39" t="str">
        <f>IF(E170="", "", IFERROR(VLOOKUP(IFERROR(VLOOKUP(SUBSTITUTE(E170,"DS ","")&amp;F170, wilayahfix!$A:$D, 2, 0), ""), user!$B:$D, 2, 0), "TIDAK KETEMU"))</f>
        <v/>
      </c>
      <c r="K170" s="39" t="str">
        <f>IF(E170="", "", IFERROR(VLOOKUP(IFERROR(VLOOKUP(SUBSTITUTE(E170,"DS ","")&amp;F170, wilayahfix!$A:$D, 2, 0), ""), user!$B:$D, 3, 0), ""))</f>
        <v/>
      </c>
    </row>
    <row r="171" spans="10:11" x14ac:dyDescent="0.25">
      <c r="J171" s="39"/>
      <c r="K171" s="39"/>
    </row>
    <row r="172" spans="10:11" x14ac:dyDescent="0.25">
      <c r="J172" s="39" t="str">
        <f>IF(E172="", "", IFERROR(VLOOKUP(IFERROR(VLOOKUP(SUBSTITUTE(E172,"DS ","")&amp;F172, wilayahfix!$A:$D, 2, 0), ""), user!$B:$D, 2, 0), "TIDAK KETEMU"))</f>
        <v/>
      </c>
      <c r="K172" s="39" t="str">
        <f>IF(E172="", "", IFERROR(VLOOKUP(IFERROR(VLOOKUP(SUBSTITUTE(E172,"DS ","")&amp;F172, wilayahfix!$A:$D, 2, 0), ""), user!$B:$D, 3, 0), ""))</f>
        <v/>
      </c>
    </row>
    <row r="173" spans="10:11" x14ac:dyDescent="0.25">
      <c r="J173" s="39"/>
      <c r="K173" s="39"/>
    </row>
    <row r="174" spans="10:11" x14ac:dyDescent="0.25">
      <c r="J174" s="39" t="str">
        <f>IF(E174="", "", IFERROR(VLOOKUP(IFERROR(VLOOKUP(SUBSTITUTE(E174,"DS ","")&amp;F174, wilayahfix!$A:$D, 2, 0), ""), user!$B:$D, 2, 0), "TIDAK KETEMU"))</f>
        <v/>
      </c>
      <c r="K174" s="39" t="str">
        <f>IF(E174="", "", IFERROR(VLOOKUP(IFERROR(VLOOKUP(SUBSTITUTE(E174,"DS ","")&amp;F174, wilayahfix!$A:$D, 2, 0), ""), user!$B:$D, 3, 0), ""))</f>
        <v/>
      </c>
    </row>
    <row r="175" spans="10:11" x14ac:dyDescent="0.25">
      <c r="J175" s="39"/>
      <c r="K175" s="39"/>
    </row>
    <row r="176" spans="10:11" x14ac:dyDescent="0.25">
      <c r="J176" s="39" t="str">
        <f>IF(E176="", "", IFERROR(VLOOKUP(IFERROR(VLOOKUP(SUBSTITUTE(E176,"DS ","")&amp;F176, wilayahfix!$A:$D, 2, 0), ""), user!$B:$D, 2, 0), "TIDAK KETEMU"))</f>
        <v/>
      </c>
      <c r="K176" s="39" t="str">
        <f>IF(E176="", "", IFERROR(VLOOKUP(IFERROR(VLOOKUP(SUBSTITUTE(E176,"DS ","")&amp;F176, wilayahfix!$A:$D, 2, 0), ""), user!$B:$D, 3, 0), ""))</f>
        <v/>
      </c>
    </row>
    <row r="177" spans="10:11" x14ac:dyDescent="0.25">
      <c r="J177" s="39"/>
      <c r="K177" s="39"/>
    </row>
    <row r="178" spans="10:11" x14ac:dyDescent="0.25">
      <c r="J178" s="39" t="str">
        <f>IF(E178="", "", IFERROR(VLOOKUP(IFERROR(VLOOKUP(SUBSTITUTE(E178,"DS ","")&amp;F178, wilayahfix!$A:$D, 2, 0), ""), user!$B:$D, 2, 0), "TIDAK KETEMU"))</f>
        <v/>
      </c>
      <c r="K178" s="39" t="str">
        <f>IF(E178="", "", IFERROR(VLOOKUP(IFERROR(VLOOKUP(SUBSTITUTE(E178,"DS ","")&amp;F178, wilayahfix!$A:$D, 2, 0), ""), user!$B:$D, 3, 0), ""))</f>
        <v/>
      </c>
    </row>
    <row r="179" spans="10:11" x14ac:dyDescent="0.25">
      <c r="J179" s="39"/>
      <c r="K179" s="39"/>
    </row>
    <row r="180" spans="10:11" x14ac:dyDescent="0.25">
      <c r="J180" s="39" t="str">
        <f>IF(E180="", "", IFERROR(VLOOKUP(IFERROR(VLOOKUP(SUBSTITUTE(E180,"DS ","")&amp;F180, wilayahfix!$A:$D, 2, 0), ""), user!$B:$D, 2, 0), "TIDAK KETEMU"))</f>
        <v/>
      </c>
      <c r="K180" s="39" t="str">
        <f>IF(E180="", "", IFERROR(VLOOKUP(IFERROR(VLOOKUP(SUBSTITUTE(E180,"DS ","")&amp;F180, wilayahfix!$A:$D, 2, 0), ""), user!$B:$D, 3, 0), ""))</f>
        <v/>
      </c>
    </row>
    <row r="181" spans="10:11" x14ac:dyDescent="0.25">
      <c r="J181" s="39"/>
      <c r="K181" s="39"/>
    </row>
    <row r="182" spans="10:11" x14ac:dyDescent="0.25">
      <c r="J182" s="39" t="str">
        <f>IF(E182="", "", IFERROR(VLOOKUP(IFERROR(VLOOKUP(SUBSTITUTE(E182,"DS ","")&amp;F182, wilayahfix!$A:$D, 2, 0), ""), user!$B:$D, 2, 0), "TIDAK KETEMU"))</f>
        <v/>
      </c>
      <c r="K182" s="39" t="str">
        <f>IF(E182="", "", IFERROR(VLOOKUP(IFERROR(VLOOKUP(SUBSTITUTE(E182,"DS ","")&amp;F182, wilayahfix!$A:$D, 2, 0), ""), user!$B:$D, 3, 0), ""))</f>
        <v/>
      </c>
    </row>
    <row r="183" spans="10:11" x14ac:dyDescent="0.25">
      <c r="J183" s="39"/>
      <c r="K183" s="39"/>
    </row>
    <row r="184" spans="10:11" x14ac:dyDescent="0.25">
      <c r="J184" s="39" t="str">
        <f>IF(E184="", "", IFERROR(VLOOKUP(IFERROR(VLOOKUP(SUBSTITUTE(E184,"DS ","")&amp;F184, wilayahfix!$A:$D, 2, 0), ""), user!$B:$D, 2, 0), "TIDAK KETEMU"))</f>
        <v/>
      </c>
      <c r="K184" s="39" t="str">
        <f>IF(E184="", "", IFERROR(VLOOKUP(IFERROR(VLOOKUP(SUBSTITUTE(E184,"DS ","")&amp;F184, wilayahfix!$A:$D, 2, 0), ""), user!$B:$D, 3, 0), ""))</f>
        <v/>
      </c>
    </row>
    <row r="185" spans="10:11" x14ac:dyDescent="0.25">
      <c r="J185" s="39"/>
      <c r="K185" s="39"/>
    </row>
    <row r="186" spans="10:11" x14ac:dyDescent="0.25">
      <c r="J186" s="39" t="str">
        <f>IF(E186="", "", IFERROR(VLOOKUP(IFERROR(VLOOKUP(SUBSTITUTE(E186,"DS ","")&amp;F186, wilayahfix!$A:$D, 2, 0), ""), user!$B:$D, 2, 0), "TIDAK KETEMU"))</f>
        <v/>
      </c>
      <c r="K186" s="39" t="str">
        <f>IF(E186="", "", IFERROR(VLOOKUP(IFERROR(VLOOKUP(SUBSTITUTE(E186,"DS ","")&amp;F186, wilayahfix!$A:$D, 2, 0), ""), user!$B:$D, 3, 0), ""))</f>
        <v/>
      </c>
    </row>
    <row r="187" spans="10:11" x14ac:dyDescent="0.25">
      <c r="J187" s="39"/>
      <c r="K187" s="39"/>
    </row>
    <row r="188" spans="10:11" x14ac:dyDescent="0.25">
      <c r="J188" s="39" t="str">
        <f>IF(E188="", "", IFERROR(VLOOKUP(IFERROR(VLOOKUP(SUBSTITUTE(E188,"DS ","")&amp;F188, wilayahfix!$A:$D, 2, 0), ""), user!$B:$D, 2, 0), "TIDAK KETEMU"))</f>
        <v/>
      </c>
      <c r="K188" s="39" t="str">
        <f>IF(E188="", "", IFERROR(VLOOKUP(IFERROR(VLOOKUP(SUBSTITUTE(E188,"DS ","")&amp;F188, wilayahfix!$A:$D, 2, 0), ""), user!$B:$D, 3, 0), ""))</f>
        <v/>
      </c>
    </row>
    <row r="189" spans="10:11" x14ac:dyDescent="0.25">
      <c r="J189" s="39"/>
      <c r="K189" s="39"/>
    </row>
    <row r="190" spans="10:11" x14ac:dyDescent="0.25">
      <c r="J190" s="39" t="str">
        <f>IF(E190="", "", IFERROR(VLOOKUP(IFERROR(VLOOKUP(SUBSTITUTE(E190,"DS ","")&amp;F190, wilayahfix!$A:$D, 2, 0), ""), user!$B:$D, 2, 0), "TIDAK KETEMU"))</f>
        <v/>
      </c>
      <c r="K190" s="39" t="str">
        <f>IF(E190="", "", IFERROR(VLOOKUP(IFERROR(VLOOKUP(SUBSTITUTE(E190,"DS ","")&amp;F190, wilayahfix!$A:$D, 2, 0), ""), user!$B:$D, 3, 0), ""))</f>
        <v/>
      </c>
    </row>
    <row r="191" spans="10:11" x14ac:dyDescent="0.25">
      <c r="J191" s="39"/>
      <c r="K191" s="39"/>
    </row>
    <row r="192" spans="10:11" x14ac:dyDescent="0.25">
      <c r="J192" s="39" t="str">
        <f>IF(E192="", "", IFERROR(VLOOKUP(IFERROR(VLOOKUP(SUBSTITUTE(E192,"DS ","")&amp;F192, wilayahfix!$A:$D, 2, 0), ""), user!$B:$D, 2, 0), "TIDAK KETEMU"))</f>
        <v/>
      </c>
      <c r="K192" s="39" t="str">
        <f>IF(E192="", "", IFERROR(VLOOKUP(IFERROR(VLOOKUP(SUBSTITUTE(E192,"DS ","")&amp;F192, wilayahfix!$A:$D, 2, 0), ""), user!$B:$D, 3, 0), ""))</f>
        <v/>
      </c>
    </row>
    <row r="193" spans="10:11" x14ac:dyDescent="0.25">
      <c r="J193" s="39"/>
      <c r="K193" s="39"/>
    </row>
    <row r="194" spans="10:11" x14ac:dyDescent="0.25">
      <c r="J194" s="39" t="str">
        <f>IF(E194="", "", IFERROR(VLOOKUP(IFERROR(VLOOKUP(SUBSTITUTE(E194,"DS ","")&amp;F194, wilayahfix!$A:$D, 2, 0), ""), user!$B:$D, 2, 0), "TIDAK KETEMU"))</f>
        <v/>
      </c>
      <c r="K194" s="39" t="str">
        <f>IF(E194="", "", IFERROR(VLOOKUP(IFERROR(VLOOKUP(SUBSTITUTE(E194,"DS ","")&amp;F194, wilayahfix!$A:$D, 2, 0), ""), user!$B:$D, 3, 0), ""))</f>
        <v/>
      </c>
    </row>
    <row r="195" spans="10:11" x14ac:dyDescent="0.25">
      <c r="J195" s="39"/>
      <c r="K195" s="39"/>
    </row>
    <row r="196" spans="10:11" x14ac:dyDescent="0.25">
      <c r="J196" s="39" t="str">
        <f>IF(E196="", "", IFERROR(VLOOKUP(IFERROR(VLOOKUP(SUBSTITUTE(E196,"DS ","")&amp;F196, wilayahfix!$A:$D, 2, 0), ""), user!$B:$D, 2, 0), "TIDAK KETEMU"))</f>
        <v/>
      </c>
      <c r="K196" s="39" t="str">
        <f>IF(E196="", "", IFERROR(VLOOKUP(IFERROR(VLOOKUP(SUBSTITUTE(E196,"DS ","")&amp;F196, wilayahfix!$A:$D, 2, 0), ""), user!$B:$D, 3, 0), ""))</f>
        <v/>
      </c>
    </row>
    <row r="197" spans="10:11" x14ac:dyDescent="0.25">
      <c r="J197" s="39"/>
      <c r="K197" s="39"/>
    </row>
    <row r="198" spans="10:11" x14ac:dyDescent="0.25">
      <c r="J198" s="39" t="str">
        <f>IF(E198="", "", IFERROR(VLOOKUP(IFERROR(VLOOKUP(SUBSTITUTE(E198,"DS ","")&amp;F198, wilayahfix!$A:$D, 2, 0), ""), user!$B:$D, 2, 0), "TIDAK KETEMU"))</f>
        <v/>
      </c>
      <c r="K198" s="39" t="str">
        <f>IF(E198="", "", IFERROR(VLOOKUP(IFERROR(VLOOKUP(SUBSTITUTE(E198,"DS ","")&amp;F198, wilayahfix!$A:$D, 2, 0), ""), user!$B:$D, 3, 0), ""))</f>
        <v/>
      </c>
    </row>
    <row r="199" spans="10:11" x14ac:dyDescent="0.25">
      <c r="J199" s="39"/>
      <c r="K199" s="39"/>
    </row>
    <row r="200" spans="10:11" x14ac:dyDescent="0.25">
      <c r="J200" s="39" t="str">
        <f>IF(E200="", "", IFERROR(VLOOKUP(IFERROR(VLOOKUP(SUBSTITUTE(E200,"DS ","")&amp;F200, wilayahfix!$A:$D, 2, 0), ""), user!$B:$D, 2, 0), "TIDAK KETEMU"))</f>
        <v/>
      </c>
      <c r="K200" s="39" t="str">
        <f>IF(E200="", "", IFERROR(VLOOKUP(IFERROR(VLOOKUP(SUBSTITUTE(E200,"DS ","")&amp;F200,#REF!, 2, 0), ""), user!$B:$D, 3, 0), ""))</f>
        <v/>
      </c>
    </row>
    <row r="201" spans="10:11" x14ac:dyDescent="0.25">
      <c r="J201" s="39"/>
      <c r="K201" s="39"/>
    </row>
    <row r="202" spans="10:11" x14ac:dyDescent="0.25">
      <c r="J202" s="39" t="str">
        <f>IF(E202="", "", IFERROR(VLOOKUP(IFERROR(VLOOKUP(SUBSTITUTE(E202,"DS ","")&amp;F202, wilayahfix!$A:$D, 2, 0), ""), user!$B:$D, 2, 0), "TIDAK KETEMU"))</f>
        <v/>
      </c>
      <c r="K202" s="39" t="str">
        <f>IF(E202="", "", IFERROR(VLOOKUP(IFERROR(VLOOKUP(SUBSTITUTE(E202,"DS ","")&amp;F202,#REF!, 2, 0), ""), user!$B:$D, 3, 0), ""))</f>
        <v/>
      </c>
    </row>
    <row r="203" spans="10:11" x14ac:dyDescent="0.25">
      <c r="J203" s="39"/>
      <c r="K203" s="39"/>
    </row>
    <row r="204" spans="10:11" x14ac:dyDescent="0.25">
      <c r="J204" s="39" t="str">
        <f>IF(E204="", "", IFERROR(VLOOKUP(IFERROR(VLOOKUP(SUBSTITUTE(E204,"DS ","")&amp;F204, wilayahfix!$A:$D, 2, 0), ""), user!$B:$D, 2, 0), "TIDAK KETEMU"))</f>
        <v/>
      </c>
      <c r="K204" s="39" t="str">
        <f>IF(E204="", "", IFERROR(VLOOKUP(IFERROR(VLOOKUP(SUBSTITUTE(E204,"DS ","")&amp;F204,#REF!, 2, 0), ""), user!$B:$D, 3, 0), ""))</f>
        <v/>
      </c>
    </row>
    <row r="205" spans="10:11" x14ac:dyDescent="0.25">
      <c r="J205" s="39"/>
      <c r="K205" s="39"/>
    </row>
    <row r="206" spans="10:11" x14ac:dyDescent="0.25">
      <c r="J206" s="39" t="str">
        <f>IF(E206="", "", IFERROR(VLOOKUP(IFERROR(VLOOKUP(SUBSTITUTE(E206,"DS ","")&amp;F206, wilayahfix!$A:$D, 2, 0), ""), user!$B:$D, 2, 0), "TIDAK KETEMU"))</f>
        <v/>
      </c>
      <c r="K206" s="39" t="str">
        <f>IF(E206="", "", IFERROR(VLOOKUP(IFERROR(VLOOKUP(SUBSTITUTE(E206,"DS ","")&amp;F206,#REF!, 2, 0), ""), user!$B:$D, 3, 0), ""))</f>
        <v/>
      </c>
    </row>
    <row r="207" spans="10:11" x14ac:dyDescent="0.25">
      <c r="J207" s="39"/>
      <c r="K207" s="39"/>
    </row>
    <row r="208" spans="10:11" x14ac:dyDescent="0.25">
      <c r="J208" s="39" t="str">
        <f>IF(E208="", "", IFERROR(VLOOKUP(IFERROR(VLOOKUP(SUBSTITUTE(E208,"DS ","")&amp;F208, wilayahfix!$A:$D, 2, 0), ""), user!$B:$D, 2, 0), "TIDAK KETEMU"))</f>
        <v/>
      </c>
      <c r="K208" s="39" t="str">
        <f>IF(E208="", "", IFERROR(VLOOKUP(IFERROR(VLOOKUP(SUBSTITUTE(E208,"DS ","")&amp;F208,#REF!, 2, 0), ""), user!$B:$D, 3, 0), ""))</f>
        <v/>
      </c>
    </row>
    <row r="209" spans="10:11" x14ac:dyDescent="0.25">
      <c r="J209" s="39"/>
      <c r="K209" s="39"/>
    </row>
    <row r="210" spans="10:11" x14ac:dyDescent="0.25">
      <c r="J210" s="39" t="str">
        <f>IF(E210="", "", IFERROR(VLOOKUP(IFERROR(VLOOKUP(SUBSTITUTE(E210,"DS ","")&amp;F210, wilayahfix!$A:$D, 2, 0), ""), user!$B:$D, 2, 0), "TIDAK KETEMU"))</f>
        <v/>
      </c>
      <c r="K210" s="39" t="str">
        <f>IF(E210="", "", IFERROR(VLOOKUP(IFERROR(VLOOKUP(SUBSTITUTE(E210,"DS ","")&amp;F210,#REF!, 2, 0), ""), user!$B:$D, 3, 0), ""))</f>
        <v/>
      </c>
    </row>
    <row r="211" spans="10:11" x14ac:dyDescent="0.25">
      <c r="J211" s="39"/>
      <c r="K211" s="39"/>
    </row>
    <row r="212" spans="10:11" x14ac:dyDescent="0.25">
      <c r="J212" s="39" t="str">
        <f>IF(E212="", "", IFERROR(VLOOKUP(IFERROR(VLOOKUP(SUBSTITUTE(E212,"DS ","")&amp;F212, wilayahfix!$A:$D, 2, 0), ""), user!$B:$D, 2, 0), "TIDAK KETEMU"))</f>
        <v/>
      </c>
      <c r="K212" s="39" t="str">
        <f>IF(E212="", "", IFERROR(VLOOKUP(IFERROR(VLOOKUP(SUBSTITUTE(E212,"DS ","")&amp;F212,#REF!, 2, 0), ""), user!$B:$D, 3, 0), ""))</f>
        <v/>
      </c>
    </row>
    <row r="213" spans="10:11" x14ac:dyDescent="0.25">
      <c r="J213" s="39"/>
      <c r="K213" s="39"/>
    </row>
    <row r="214" spans="10:11" x14ac:dyDescent="0.25">
      <c r="J214" s="39" t="str">
        <f>IF(E214="", "", IFERROR(VLOOKUP(IFERROR(VLOOKUP(SUBSTITUTE(E214,"DS ","")&amp;F214, wilayahfix!$A:$D, 2, 0), ""), user!$B:$D, 2, 0), "TIDAK KETEMU"))</f>
        <v/>
      </c>
      <c r="K214" s="39" t="str">
        <f>IF(E214="", "", IFERROR(VLOOKUP(IFERROR(VLOOKUP(SUBSTITUTE(E214,"DS ","")&amp;F214,#REF!, 2, 0), ""), user!$B:$D, 3, 0), ""))</f>
        <v/>
      </c>
    </row>
    <row r="215" spans="10:11" x14ac:dyDescent="0.25">
      <c r="J215" s="39"/>
      <c r="K215" s="39"/>
    </row>
    <row r="216" spans="10:11" x14ac:dyDescent="0.25">
      <c r="J216" s="39" t="str">
        <f>IF(E216="", "", IFERROR(VLOOKUP(IFERROR(VLOOKUP(SUBSTITUTE(E216,"DS ","")&amp;F216, wilayahfix!$A:$D, 2, 0), ""), user!$B:$D, 2, 0), "TIDAK KETEMU"))</f>
        <v/>
      </c>
      <c r="K216" s="39" t="str">
        <f>IF(E216="", "", IFERROR(VLOOKUP(IFERROR(VLOOKUP(SUBSTITUTE(E216,"DS ","")&amp;F216,#REF!, 2, 0), ""), user!$B:$D, 3, 0), ""))</f>
        <v/>
      </c>
    </row>
    <row r="217" spans="10:11" x14ac:dyDescent="0.25">
      <c r="J217" s="39"/>
      <c r="K217" s="39"/>
    </row>
    <row r="218" spans="10:11" x14ac:dyDescent="0.25">
      <c r="J218" s="39" t="str">
        <f>IF(E218="", "", IFERROR(VLOOKUP(IFERROR(VLOOKUP(SUBSTITUTE(E218,"DS ","")&amp;F218, wilayahfix!$A:$D, 2, 0), ""), user!$B:$D, 2, 0), "TIDAK KETEMU"))</f>
        <v/>
      </c>
      <c r="K218" s="39" t="str">
        <f>IF(E218="", "", IFERROR(VLOOKUP(IFERROR(VLOOKUP(SUBSTITUTE(E218,"DS ","")&amp;F218,#REF!, 2, 0), ""), user!$B:$D, 3, 0), ""))</f>
        <v/>
      </c>
    </row>
    <row r="219" spans="10:11" x14ac:dyDescent="0.25">
      <c r="J219" s="39"/>
      <c r="K219" s="39"/>
    </row>
    <row r="220" spans="10:11" x14ac:dyDescent="0.25">
      <c r="J220" s="39" t="str">
        <f>IF(E220="", "", IFERROR(VLOOKUP(IFERROR(VLOOKUP(SUBSTITUTE(E220,"DS ","")&amp;F220, wilayahfix!$A:$D, 2, 0), ""), user!$B:$D, 2, 0), "TIDAK KETEMU"))</f>
        <v/>
      </c>
      <c r="K220" s="39" t="str">
        <f>IF(E220="", "", IFERROR(VLOOKUP(IFERROR(VLOOKUP(SUBSTITUTE(E220,"DS ","")&amp;F220,#REF!, 2, 0), ""), user!$B:$D, 3, 0), ""))</f>
        <v/>
      </c>
    </row>
    <row r="221" spans="10:11" x14ac:dyDescent="0.25">
      <c r="J221" s="39"/>
      <c r="K221" s="39"/>
    </row>
    <row r="222" spans="10:11" x14ac:dyDescent="0.25">
      <c r="J222" s="39" t="str">
        <f>IF(E222="", "", IFERROR(VLOOKUP(IFERROR(VLOOKUP(SUBSTITUTE(E222,"DS ","")&amp;F222, wilayahfix!$A:$D, 2, 0), ""), user!$B:$D, 2, 0), "TIDAK KETEMU"))</f>
        <v/>
      </c>
      <c r="K222" s="39" t="str">
        <f>IF(E222="", "", IFERROR(VLOOKUP(IFERROR(VLOOKUP(SUBSTITUTE(E222,"DS ","")&amp;F222,#REF!, 2, 0), ""), user!$B:$D, 3, 0), ""))</f>
        <v/>
      </c>
    </row>
    <row r="223" spans="10:11" x14ac:dyDescent="0.25">
      <c r="J223" s="39"/>
      <c r="K223" s="39"/>
    </row>
    <row r="224" spans="10:11" x14ac:dyDescent="0.25">
      <c r="J224" s="39" t="str">
        <f>IF(E224="", "", IFERROR(VLOOKUP(IFERROR(VLOOKUP(SUBSTITUTE(E224,"DS ","")&amp;F224, wilayahfix!$A:$D, 2, 0), ""), user!$B:$D, 2, 0), "TIDAK KETEMU"))</f>
        <v/>
      </c>
      <c r="K224" s="39" t="str">
        <f>IF(E224="", "", IFERROR(VLOOKUP(IFERROR(VLOOKUP(SUBSTITUTE(E224,"DS ","")&amp;F224,#REF!, 2, 0), ""), user!$B:$D, 3, 0), ""))</f>
        <v/>
      </c>
    </row>
    <row r="225" spans="10:11" x14ac:dyDescent="0.25">
      <c r="J225" s="39"/>
      <c r="K225" s="39"/>
    </row>
    <row r="226" spans="10:11" x14ac:dyDescent="0.25">
      <c r="J226" s="39" t="str">
        <f>IF(E226="", "", IFERROR(VLOOKUP(IFERROR(VLOOKUP(SUBSTITUTE(E226,"DS ","")&amp;F226, wilayahfix!$A:$D, 2, 0), ""), user!$B:$D, 2, 0), "TIDAK KETEMU"))</f>
        <v/>
      </c>
      <c r="K226" s="39" t="str">
        <f>IF(E226="", "", IFERROR(VLOOKUP(IFERROR(VLOOKUP(SUBSTITUTE(E226,"DS ","")&amp;F226,#REF!, 2, 0), ""), user!$B:$D, 3, 0), ""))</f>
        <v/>
      </c>
    </row>
    <row r="227" spans="10:11" x14ac:dyDescent="0.25">
      <c r="J227" s="39"/>
      <c r="K227" s="39"/>
    </row>
    <row r="228" spans="10:11" x14ac:dyDescent="0.25">
      <c r="J228" s="39" t="str">
        <f>IF(E228="", "", IFERROR(VLOOKUP(IFERROR(VLOOKUP(SUBSTITUTE(E228,"DS ","")&amp;F228, wilayahfix!$A:$D, 2, 0), ""), user!$B:$D, 2, 0), "TIDAK KETEMU"))</f>
        <v/>
      </c>
      <c r="K228" s="39" t="str">
        <f>IF(E228="", "", IFERROR(VLOOKUP(IFERROR(VLOOKUP(SUBSTITUTE(E228,"DS ","")&amp;F228,#REF!, 2, 0), ""), user!$B:$D, 3, 0), ""))</f>
        <v/>
      </c>
    </row>
    <row r="229" spans="10:11" x14ac:dyDescent="0.25">
      <c r="J229" s="39"/>
      <c r="K229" s="39"/>
    </row>
    <row r="230" spans="10:11" x14ac:dyDescent="0.25">
      <c r="J230" s="39" t="str">
        <f>IF(E230="", "", IFERROR(VLOOKUP(IFERROR(VLOOKUP(SUBSTITUTE(E230,"DS ","")&amp;F230, wilayahfix!$A:$D, 2, 0), ""), user!$B:$D, 2, 0), "TIDAK KETEMU"))</f>
        <v/>
      </c>
      <c r="K230" s="39" t="str">
        <f>IF(E230="", "", IFERROR(VLOOKUP(IFERROR(VLOOKUP(SUBSTITUTE(E230,"DS ","")&amp;F230,#REF!, 2, 0), ""), user!$B:$D, 3, 0), ""))</f>
        <v/>
      </c>
    </row>
    <row r="231" spans="10:11" x14ac:dyDescent="0.25">
      <c r="J231" s="39"/>
      <c r="K231" s="39"/>
    </row>
    <row r="232" spans="10:11" x14ac:dyDescent="0.25">
      <c r="J232" s="39" t="str">
        <f>IF(E232="", "", IFERROR(VLOOKUP(IFERROR(VLOOKUP(SUBSTITUTE(E232,"DS ","")&amp;F232, wilayahfix!$A:$D, 2, 0), ""), user!$B:$D, 2, 0), "TIDAK KETEMU"))</f>
        <v/>
      </c>
      <c r="K232" s="39" t="str">
        <f>IF(E232="", "", IFERROR(VLOOKUP(IFERROR(VLOOKUP(SUBSTITUTE(E232,"DS ","")&amp;F232,#REF!, 2, 0), ""), user!$B:$D, 3, 0), ""))</f>
        <v/>
      </c>
    </row>
    <row r="233" spans="10:11" x14ac:dyDescent="0.25">
      <c r="J233" s="39"/>
      <c r="K233" s="39"/>
    </row>
    <row r="234" spans="10:11" x14ac:dyDescent="0.25">
      <c r="J234" s="39" t="str">
        <f>IF(E234="", "", IFERROR(VLOOKUP(IFERROR(VLOOKUP(SUBSTITUTE(E234,"DS ","")&amp;F234, wilayahfix!$A:$D, 2, 0), ""), user!$B:$D, 2, 0), "TIDAK KETEMU"))</f>
        <v/>
      </c>
      <c r="K234" s="39" t="str">
        <f>IF(E234="", "", IFERROR(VLOOKUP(IFERROR(VLOOKUP(SUBSTITUTE(E234,"DS ","")&amp;F234,#REF!, 2, 0), ""), user!$B:$D, 3, 0), ""))</f>
        <v/>
      </c>
    </row>
    <row r="235" spans="10:11" x14ac:dyDescent="0.25">
      <c r="J235" s="39"/>
      <c r="K235" s="39"/>
    </row>
    <row r="236" spans="10:11" x14ac:dyDescent="0.25">
      <c r="J236" s="39" t="str">
        <f>IF(E236="", "", IFERROR(VLOOKUP(IFERROR(VLOOKUP(SUBSTITUTE(E236,"DS ","")&amp;F236, wilayahfix!$A:$D, 2, 0), ""), user!$B:$D, 2, 0), "TIDAK KETEMU"))</f>
        <v/>
      </c>
      <c r="K236" s="39" t="str">
        <f>IF(E236="", "", IFERROR(VLOOKUP(IFERROR(VLOOKUP(SUBSTITUTE(E236,"DS ","")&amp;F236,#REF!, 2, 0), ""), user!$B:$D, 3, 0), ""))</f>
        <v/>
      </c>
    </row>
    <row r="237" spans="10:11" x14ac:dyDescent="0.25">
      <c r="J237" s="39"/>
      <c r="K237" s="39"/>
    </row>
    <row r="238" spans="10:11" x14ac:dyDescent="0.25">
      <c r="J238" s="39" t="str">
        <f>IF(E238="", "", IFERROR(VLOOKUP(IFERROR(VLOOKUP(SUBSTITUTE(E238,"DS ","")&amp;F238, wilayahfix!$A:$D, 2, 0), ""), user!$B:$D, 2, 0), "TIDAK KETEMU"))</f>
        <v/>
      </c>
      <c r="K238" s="39" t="str">
        <f>IF(E238="", "", IFERROR(VLOOKUP(IFERROR(VLOOKUP(SUBSTITUTE(E238,"DS ","")&amp;F238,#REF!, 2, 0), ""), user!$B:$D, 3, 0), ""))</f>
        <v/>
      </c>
    </row>
    <row r="239" spans="10:11" x14ac:dyDescent="0.25">
      <c r="J239" s="39"/>
      <c r="K239" s="39"/>
    </row>
    <row r="240" spans="10:11" x14ac:dyDescent="0.25">
      <c r="J240" s="39" t="str">
        <f>IF(E240="", "", IFERROR(VLOOKUP(IFERROR(VLOOKUP(SUBSTITUTE(E240,"DS ","")&amp;F240, wilayahfix!$A:$D, 2, 0), ""), user!$B:$D, 2, 0), "TIDAK KETEMU"))</f>
        <v/>
      </c>
      <c r="K240" s="39" t="str">
        <f>IF(E240="", "", IFERROR(VLOOKUP(IFERROR(VLOOKUP(SUBSTITUTE(E240,"DS ","")&amp;F240,#REF!, 2, 0), ""), user!$B:$D, 3, 0), ""))</f>
        <v/>
      </c>
    </row>
    <row r="241" spans="10:11" x14ac:dyDescent="0.25">
      <c r="J241" s="39"/>
      <c r="K241" s="39"/>
    </row>
    <row r="242" spans="10:11" x14ac:dyDescent="0.25">
      <c r="J242" s="39" t="str">
        <f>IF(E242="", "", IFERROR(VLOOKUP(IFERROR(VLOOKUP(SUBSTITUTE(E242,"DS ","")&amp;F242, wilayahfix!$A:$D, 2, 0), ""), user!$B:$D, 2, 0), "TIDAK KETEMU"))</f>
        <v/>
      </c>
      <c r="K242" s="39" t="str">
        <f>IF(E242="", "", IFERROR(VLOOKUP(IFERROR(VLOOKUP(SUBSTITUTE(E242,"DS ","")&amp;F242,#REF!, 2, 0), ""), user!$B:$D, 3, 0), ""))</f>
        <v/>
      </c>
    </row>
    <row r="243" spans="10:11" x14ac:dyDescent="0.25">
      <c r="J243" s="39"/>
      <c r="K243" s="39"/>
    </row>
    <row r="244" spans="10:11" x14ac:dyDescent="0.25">
      <c r="J244" s="39" t="str">
        <f>IF(E244="", "", IFERROR(VLOOKUP(IFERROR(VLOOKUP(SUBSTITUTE(E244,"DS ","")&amp;F244, wilayahfix!$A:$D, 2, 0), ""), user!$B:$D, 2, 0), "TIDAK KETEMU"))</f>
        <v/>
      </c>
      <c r="K244" s="39" t="str">
        <f>IF(E244="", "", IFERROR(VLOOKUP(IFERROR(VLOOKUP(SUBSTITUTE(E244,"DS ","")&amp;F244,#REF!, 2, 0), ""), user!$B:$D, 3, 0), ""))</f>
        <v/>
      </c>
    </row>
    <row r="245" spans="10:11" x14ac:dyDescent="0.25">
      <c r="J245" s="39"/>
      <c r="K245" s="39"/>
    </row>
    <row r="246" spans="10:11" x14ac:dyDescent="0.25">
      <c r="J246" s="39" t="str">
        <f>IF(E246="", "", IFERROR(VLOOKUP(IFERROR(VLOOKUP(SUBSTITUTE(E246,"DS ","")&amp;F246, wilayahfix!$A:$D, 2, 0), ""), user!$B:$D, 2, 0), "TIDAK KETEMU"))</f>
        <v/>
      </c>
      <c r="K246" s="39" t="str">
        <f>IF(E246="", "", IFERROR(VLOOKUP(IFERROR(VLOOKUP(SUBSTITUTE(E246,"DS ","")&amp;F246,#REF!, 2, 0), ""), user!$B:$D, 3, 0), ""))</f>
        <v/>
      </c>
    </row>
    <row r="247" spans="10:11" x14ac:dyDescent="0.25">
      <c r="J247" s="39"/>
      <c r="K247" s="39"/>
    </row>
    <row r="248" spans="10:11" x14ac:dyDescent="0.25">
      <c r="J248" s="39" t="str">
        <f>IF(E248="", "", IFERROR(VLOOKUP(IFERROR(VLOOKUP(SUBSTITUTE(E248,"DS ","")&amp;F248, wilayahfix!$A:$D, 2, 0), ""), user!$B:$D, 2, 0), "TIDAK KETEMU"))</f>
        <v/>
      </c>
      <c r="K248" s="39" t="str">
        <f>IF(E248="", "", IFERROR(VLOOKUP(IFERROR(VLOOKUP(SUBSTITUTE(E248,"DS ","")&amp;F248,#REF!, 2, 0), ""), user!$B:$D, 3, 0), ""))</f>
        <v/>
      </c>
    </row>
    <row r="249" spans="10:11" x14ac:dyDescent="0.25">
      <c r="J249" s="39"/>
      <c r="K249" s="39"/>
    </row>
    <row r="250" spans="10:11" x14ac:dyDescent="0.25">
      <c r="J250" s="39" t="str">
        <f>IF(E250="", "", IFERROR(VLOOKUP(IFERROR(VLOOKUP(SUBSTITUTE(E250,"DS ","")&amp;F250, wilayahfix!$A:$D, 2, 0), ""), user!$B:$D, 2, 0), "TIDAK KETEMU"))</f>
        <v/>
      </c>
      <c r="K250" s="39" t="str">
        <f>IF(E250="", "", IFERROR(VLOOKUP(IFERROR(VLOOKUP(SUBSTITUTE(E250,"DS ","")&amp;F250,#REF!, 2, 0), ""), user!$B:$D, 3, 0), ""))</f>
        <v/>
      </c>
    </row>
    <row r="251" spans="10:11" x14ac:dyDescent="0.25">
      <c r="J251" s="39"/>
      <c r="K251" s="39"/>
    </row>
    <row r="252" spans="10:11" x14ac:dyDescent="0.25">
      <c r="J252" s="39" t="str">
        <f>IF(E252="", "", IFERROR(VLOOKUP(IFERROR(VLOOKUP(SUBSTITUTE(E252,"DS ","")&amp;F252, wilayahfix!$A:$D, 2, 0), ""), user!$B:$D, 2, 0), "TIDAK KETEMU"))</f>
        <v/>
      </c>
      <c r="K252" s="39" t="str">
        <f>IF(E252="", "", IFERROR(VLOOKUP(IFERROR(VLOOKUP(SUBSTITUTE(E252,"DS ","")&amp;F252,#REF!, 2, 0), ""), user!$B:$D, 3, 0), ""))</f>
        <v/>
      </c>
    </row>
    <row r="253" spans="10:11" x14ac:dyDescent="0.25">
      <c r="J253" s="39"/>
      <c r="K253" s="39"/>
    </row>
    <row r="254" spans="10:11" x14ac:dyDescent="0.25">
      <c r="J254" s="39" t="str">
        <f>IF(E254="", "", IFERROR(VLOOKUP(IFERROR(VLOOKUP(SUBSTITUTE(E254,"DS ","")&amp;F254, wilayahfix!$A:$D, 2, 0), ""), user!$B:$D, 2, 0), "TIDAK KETEMU"))</f>
        <v/>
      </c>
      <c r="K254" s="39" t="str">
        <f>IF(E254="", "", IFERROR(VLOOKUP(IFERROR(VLOOKUP(SUBSTITUTE(E254,"DS ","")&amp;F254,#REF!, 2, 0), ""), user!$B:$D, 3, 0), ""))</f>
        <v/>
      </c>
    </row>
    <row r="255" spans="10:11" x14ac:dyDescent="0.25">
      <c r="J255" s="39"/>
      <c r="K255" s="39"/>
    </row>
    <row r="256" spans="10:11" x14ac:dyDescent="0.25">
      <c r="J256" s="39" t="str">
        <f>IF(E256="", "", IFERROR(VLOOKUP(IFERROR(VLOOKUP(SUBSTITUTE(E256,"DS ","")&amp;F256, wilayahfix!$A:$D, 2, 0), ""), user!$B:$D, 2, 0), "TIDAK KETEMU"))</f>
        <v/>
      </c>
      <c r="K256" s="39" t="str">
        <f>IF(E256="", "", IFERROR(VLOOKUP(IFERROR(VLOOKUP(SUBSTITUTE(E256,"DS ","")&amp;F256,#REF!, 2, 0), ""), user!$B:$D, 3, 0), ""))</f>
        <v/>
      </c>
    </row>
    <row r="257" spans="10:11" x14ac:dyDescent="0.25">
      <c r="J257" s="39"/>
      <c r="K257" s="39"/>
    </row>
    <row r="258" spans="10:11" x14ac:dyDescent="0.25">
      <c r="J258" s="39" t="str">
        <f>IF(E258="", "", IFERROR(VLOOKUP(IFERROR(VLOOKUP(SUBSTITUTE(E258,"DS ","")&amp;F258, wilayahfix!$A:$D, 2, 0), ""), user!$B:$D, 2, 0), "TIDAK KETEMU"))</f>
        <v/>
      </c>
      <c r="K258" s="39" t="str">
        <f>IF(E258="", "", IFERROR(VLOOKUP(IFERROR(VLOOKUP(SUBSTITUTE(E258,"DS ","")&amp;F258,#REF!, 2, 0), ""), user!$B:$D, 3, 0), ""))</f>
        <v/>
      </c>
    </row>
    <row r="259" spans="10:11" x14ac:dyDescent="0.25">
      <c r="J259" s="39"/>
      <c r="K259" s="39"/>
    </row>
    <row r="260" spans="10:11" x14ac:dyDescent="0.25">
      <c r="J260" s="39" t="str">
        <f>IF(E260="", "", IFERROR(VLOOKUP(IFERROR(VLOOKUP(SUBSTITUTE(E260,"DS ","")&amp;F260, wilayahfix!$A:$D, 2, 0), ""), user!$B:$D, 2, 0), "TIDAK KETEMU"))</f>
        <v/>
      </c>
      <c r="K260" s="39" t="str">
        <f>IF(E260="", "", IFERROR(VLOOKUP(IFERROR(VLOOKUP(SUBSTITUTE(E260,"DS ","")&amp;F260,#REF!, 2, 0), ""), user!$B:$D, 3, 0), ""))</f>
        <v/>
      </c>
    </row>
    <row r="261" spans="10:11" x14ac:dyDescent="0.25">
      <c r="J261" s="39"/>
      <c r="K261" s="39"/>
    </row>
    <row r="262" spans="10:11" x14ac:dyDescent="0.25">
      <c r="J262" s="39" t="str">
        <f>IF(E262="", "", IFERROR(VLOOKUP(IFERROR(VLOOKUP(SUBSTITUTE(E262,"DS ","")&amp;F262, wilayahfix!$A:$D, 2, 0), ""), user!$B:$D, 2, 0), "TIDAK KETEMU"))</f>
        <v/>
      </c>
      <c r="K262" s="39" t="str">
        <f>IF(E262="", "", IFERROR(VLOOKUP(IFERROR(VLOOKUP(SUBSTITUTE(E262,"DS ","")&amp;F262,#REF!, 2, 0), ""), user!$B:$D, 3, 0), ""))</f>
        <v/>
      </c>
    </row>
    <row r="263" spans="10:11" x14ac:dyDescent="0.25">
      <c r="J263" s="39"/>
      <c r="K263" s="39"/>
    </row>
    <row r="264" spans="10:11" x14ac:dyDescent="0.25">
      <c r="J264" s="39" t="str">
        <f>IF(E264="", "", IFERROR(VLOOKUP(IFERROR(VLOOKUP(SUBSTITUTE(E264,"DS ","")&amp;F264, wilayahfix!$A:$D, 2, 0), ""), user!$B:$D, 2, 0), "TIDAK KETEMU"))</f>
        <v/>
      </c>
      <c r="K264" s="39" t="str">
        <f>IF(E264="", "", IFERROR(VLOOKUP(IFERROR(VLOOKUP(SUBSTITUTE(E264,"DS ","")&amp;F264,#REF!, 2, 0), ""), user!$B:$D, 3, 0), ""))</f>
        <v/>
      </c>
    </row>
    <row r="265" spans="10:11" x14ac:dyDescent="0.25">
      <c r="J265" s="39"/>
      <c r="K265" s="39"/>
    </row>
    <row r="266" spans="10:11" x14ac:dyDescent="0.25">
      <c r="J266" s="39" t="str">
        <f>IF(E266="", "", IFERROR(VLOOKUP(IFERROR(VLOOKUP(SUBSTITUTE(E266,"DS ","")&amp;F266, wilayahfix!$A:$D, 2, 0), ""), user!$B:$D, 2, 0), "TIDAK KETEMU"))</f>
        <v/>
      </c>
      <c r="K266" s="39" t="str">
        <f>IF(E266="", "", IFERROR(VLOOKUP(IFERROR(VLOOKUP(SUBSTITUTE(E266,"DS ","")&amp;F266,#REF!, 2, 0), ""), user!$B:$D, 3, 0), ""))</f>
        <v/>
      </c>
    </row>
    <row r="267" spans="10:11" x14ac:dyDescent="0.25">
      <c r="J267" s="39"/>
      <c r="K267" s="39"/>
    </row>
    <row r="268" spans="10:11" x14ac:dyDescent="0.25">
      <c r="J268" s="39" t="str">
        <f>IF(E268="", "", IFERROR(VLOOKUP(IFERROR(VLOOKUP(SUBSTITUTE(E268,"DS ","")&amp;F268, wilayahfix!$A:$D, 2, 0), ""), user!$B:$D, 2, 0), "TIDAK KETEMU"))</f>
        <v/>
      </c>
      <c r="K268" s="39" t="str">
        <f>IF(E268="", "", IFERROR(VLOOKUP(IFERROR(VLOOKUP(SUBSTITUTE(E268,"DS ","")&amp;F268,#REF!, 2, 0), ""), user!$B:$D, 3, 0), ""))</f>
        <v/>
      </c>
    </row>
    <row r="269" spans="10:11" x14ac:dyDescent="0.25">
      <c r="J269" s="39"/>
      <c r="K269" s="39"/>
    </row>
    <row r="270" spans="10:11" x14ac:dyDescent="0.25">
      <c r="J270" s="39" t="str">
        <f>IF(E270="", "", IFERROR(VLOOKUP(IFERROR(VLOOKUP(SUBSTITUTE(E270,"DS ","")&amp;F270, wilayahfix!$A:$D, 2, 0), ""), user!$B:$D, 2, 0), "TIDAK KETEMU"))</f>
        <v/>
      </c>
      <c r="K270" s="39" t="str">
        <f>IF(E270="", "", IFERROR(VLOOKUP(IFERROR(VLOOKUP(SUBSTITUTE(E270,"DS ","")&amp;F270,#REF!, 2, 0), ""), user!$B:$D, 3, 0), ""))</f>
        <v/>
      </c>
    </row>
    <row r="271" spans="10:11" x14ac:dyDescent="0.25">
      <c r="J271" s="39"/>
      <c r="K271" s="39"/>
    </row>
    <row r="272" spans="10:11" x14ac:dyDescent="0.25">
      <c r="J272" s="39" t="str">
        <f>IF(E272="", "", IFERROR(VLOOKUP(IFERROR(VLOOKUP(SUBSTITUTE(E272,"DS ","")&amp;F272, wilayahfix!$A:$D, 2, 0), ""), user!$B:$D, 2, 0), "TIDAK KETEMU"))</f>
        <v/>
      </c>
      <c r="K272" s="39" t="str">
        <f>IF(E272="", "", IFERROR(VLOOKUP(IFERROR(VLOOKUP(SUBSTITUTE(E272,"DS ","")&amp;F272,#REF!, 2, 0), ""), user!$B:$D, 3, 0), ""))</f>
        <v/>
      </c>
    </row>
    <row r="273" spans="10:11" x14ac:dyDescent="0.25">
      <c r="J273" s="39"/>
      <c r="K273" s="39"/>
    </row>
    <row r="274" spans="10:11" x14ac:dyDescent="0.25">
      <c r="J274" s="39" t="str">
        <f>IF(E274="", "", IFERROR(VLOOKUP(IFERROR(VLOOKUP(SUBSTITUTE(E274,"DS ","")&amp;F274, wilayahfix!$A:$D, 2, 0), ""), user!$B:$D, 2, 0), "TIDAK KETEMU"))</f>
        <v/>
      </c>
      <c r="K274" s="39" t="str">
        <f>IF(E274="", "", IFERROR(VLOOKUP(IFERROR(VLOOKUP(SUBSTITUTE(E274,"DS ","")&amp;F274,#REF!, 2, 0), ""), user!$B:$D, 3, 0), ""))</f>
        <v/>
      </c>
    </row>
    <row r="275" spans="10:11" x14ac:dyDescent="0.25">
      <c r="J275" s="39"/>
      <c r="K275" s="39"/>
    </row>
    <row r="276" spans="10:11" x14ac:dyDescent="0.25">
      <c r="J276" s="39" t="str">
        <f>IF(E276="", "", IFERROR(VLOOKUP(IFERROR(VLOOKUP(SUBSTITUTE(E276,"DS ","")&amp;F276, wilayahfix!$A:$D, 2, 0), ""), user!$B:$D, 2, 0), "TIDAK KETEMU"))</f>
        <v/>
      </c>
      <c r="K276" s="39" t="str">
        <f>IF(E276="", "", IFERROR(VLOOKUP(IFERROR(VLOOKUP(SUBSTITUTE(E276,"DS ","")&amp;F276,#REF!, 2, 0), ""), user!$B:$D, 3, 0), ""))</f>
        <v/>
      </c>
    </row>
    <row r="277" spans="10:11" x14ac:dyDescent="0.25">
      <c r="J277" s="39"/>
      <c r="K277" s="39"/>
    </row>
    <row r="278" spans="10:11" x14ac:dyDescent="0.25">
      <c r="J278" s="39" t="str">
        <f>IF(E278="", "", IFERROR(VLOOKUP(IFERROR(VLOOKUP(SUBSTITUTE(E278,"DS ","")&amp;F278, wilayahfix!$A:$D, 2, 0), ""), user!$B:$D, 2, 0), "TIDAK KETEMU"))</f>
        <v/>
      </c>
      <c r="K278" s="39" t="str">
        <f>IF(E278="", "", IFERROR(VLOOKUP(IFERROR(VLOOKUP(SUBSTITUTE(E278,"DS ","")&amp;F278,#REF!, 2, 0), ""), user!$B:$D, 3, 0), ""))</f>
        <v/>
      </c>
    </row>
    <row r="279" spans="10:11" x14ac:dyDescent="0.25">
      <c r="J279" s="39"/>
      <c r="K279" s="39"/>
    </row>
    <row r="280" spans="10:11" x14ac:dyDescent="0.25">
      <c r="J280" s="39" t="str">
        <f>IF(E280="", "", IFERROR(VLOOKUP(IFERROR(VLOOKUP(SUBSTITUTE(E280,"DS ","")&amp;F280, wilayahfix!$A:$D, 2, 0), ""), user!$B:$D, 2, 0), "TIDAK KETEMU"))</f>
        <v/>
      </c>
      <c r="K280" s="39" t="str">
        <f>IF(E280="", "", IFERROR(VLOOKUP(IFERROR(VLOOKUP(SUBSTITUTE(E280,"DS ","")&amp;F280,#REF!, 2, 0), ""), user!$B:$D, 3, 0), ""))</f>
        <v/>
      </c>
    </row>
    <row r="281" spans="10:11" x14ac:dyDescent="0.25">
      <c r="J281" s="39"/>
      <c r="K281" s="39"/>
    </row>
    <row r="282" spans="10:11" x14ac:dyDescent="0.25">
      <c r="J282" s="39" t="str">
        <f>IF(E282="", "", IFERROR(VLOOKUP(IFERROR(VLOOKUP(SUBSTITUTE(E282,"DS ","")&amp;F282, wilayahfix!$A:$D, 2, 0), ""), user!$B:$D, 2, 0), "TIDAK KETEMU"))</f>
        <v/>
      </c>
      <c r="K282" s="39" t="str">
        <f>IF(E282="", "", IFERROR(VLOOKUP(IFERROR(VLOOKUP(SUBSTITUTE(E282,"DS ","")&amp;F282,#REF!, 2, 0), ""), user!$B:$D, 3, 0), ""))</f>
        <v/>
      </c>
    </row>
    <row r="283" spans="10:11" x14ac:dyDescent="0.25">
      <c r="J283" s="39"/>
      <c r="K283" s="39"/>
    </row>
    <row r="284" spans="10:11" x14ac:dyDescent="0.25">
      <c r="J284" s="39" t="str">
        <f>IF(E284="", "", IFERROR(VLOOKUP(IFERROR(VLOOKUP(SUBSTITUTE(E284,"DS ","")&amp;F284, wilayahfix!$A:$D, 2, 0), ""), user!$B:$D, 2, 0), "TIDAK KETEMU"))</f>
        <v/>
      </c>
      <c r="K284" s="39" t="str">
        <f>IF(E284="", "", IFERROR(VLOOKUP(IFERROR(VLOOKUP(SUBSTITUTE(E284,"DS ","")&amp;F284,#REF!, 2, 0), ""), user!$B:$D, 3, 0), ""))</f>
        <v/>
      </c>
    </row>
    <row r="285" spans="10:11" x14ac:dyDescent="0.25">
      <c r="J285" s="39"/>
      <c r="K285" s="39"/>
    </row>
    <row r="286" spans="10:11" x14ac:dyDescent="0.25">
      <c r="J286" s="39" t="str">
        <f>IF(E286="", "", IFERROR(VLOOKUP(IFERROR(VLOOKUP(SUBSTITUTE(E286,"DS ","")&amp;F286, wilayahfix!$A:$D, 2, 0), ""), user!$B:$D, 2, 0), "TIDAK KETEMU"))</f>
        <v/>
      </c>
      <c r="K286" s="39" t="str">
        <f>IF(E286="", "", IFERROR(VLOOKUP(IFERROR(VLOOKUP(SUBSTITUTE(E286,"DS ","")&amp;F286,#REF!, 2, 0), ""), user!$B:$D, 3, 0), ""))</f>
        <v/>
      </c>
    </row>
    <row r="287" spans="10:11" x14ac:dyDescent="0.25">
      <c r="J287" s="39"/>
      <c r="K287" s="39"/>
    </row>
    <row r="288" spans="10:11" x14ac:dyDescent="0.25">
      <c r="J288" s="39" t="str">
        <f>IF(E288="", "", IFERROR(VLOOKUP(IFERROR(VLOOKUP(SUBSTITUTE(E288,"DS ","")&amp;F288, wilayahfix!$A:$D, 2, 0), ""), user!$B:$D, 2, 0), "TIDAK KETEMU"))</f>
        <v/>
      </c>
      <c r="K288" s="39" t="str">
        <f>IF(E288="", "", IFERROR(VLOOKUP(IFERROR(VLOOKUP(SUBSTITUTE(E288,"DS ","")&amp;F288,#REF!, 2, 0), ""), user!$B:$D, 3, 0), ""))</f>
        <v/>
      </c>
    </row>
    <row r="289" spans="10:11" x14ac:dyDescent="0.25">
      <c r="J289" s="39"/>
      <c r="K289" s="39"/>
    </row>
    <row r="290" spans="10:11" x14ac:dyDescent="0.25">
      <c r="J290" s="39" t="str">
        <f>IF(E290="", "", IFERROR(VLOOKUP(IFERROR(VLOOKUP(SUBSTITUTE(E290,"DS ","")&amp;F290, wilayahfix!$A:$D, 2, 0), ""), user!$B:$D, 2, 0), "TIDAK KETEMU"))</f>
        <v/>
      </c>
      <c r="K290" s="39" t="str">
        <f>IF(E290="", "", IFERROR(VLOOKUP(IFERROR(VLOOKUP(SUBSTITUTE(E290,"DS ","")&amp;F290,#REF!, 2, 0), ""), user!$B:$D, 3, 0), ""))</f>
        <v/>
      </c>
    </row>
    <row r="291" spans="10:11" x14ac:dyDescent="0.25">
      <c r="J291" s="39"/>
      <c r="K291" s="39"/>
    </row>
    <row r="292" spans="10:11" x14ac:dyDescent="0.25">
      <c r="J292" s="39" t="str">
        <f>IF(E292="", "", IFERROR(VLOOKUP(IFERROR(VLOOKUP(SUBSTITUTE(E292,"DS ","")&amp;F292, wilayahfix!$A:$D, 2, 0), ""), user!$B:$D, 2, 0), "TIDAK KETEMU"))</f>
        <v/>
      </c>
      <c r="K292" s="39" t="str">
        <f>IF(E292="", "", IFERROR(VLOOKUP(IFERROR(VLOOKUP(SUBSTITUTE(E292,"DS ","")&amp;F292,#REF!, 2, 0), ""), user!$B:$D, 3, 0), ""))</f>
        <v/>
      </c>
    </row>
    <row r="293" spans="10:11" x14ac:dyDescent="0.25">
      <c r="J293" s="39"/>
      <c r="K293" s="39"/>
    </row>
    <row r="294" spans="10:11" x14ac:dyDescent="0.25">
      <c r="J294" s="39" t="str">
        <f>IF(E294="", "", IFERROR(VLOOKUP(IFERROR(VLOOKUP(SUBSTITUTE(E294,"DS ","")&amp;F294, wilayahfix!$A:$D, 2, 0), ""), user!$B:$D, 2, 0), "TIDAK KETEMU"))</f>
        <v/>
      </c>
      <c r="K294" s="39" t="str">
        <f>IF(E294="", "", IFERROR(VLOOKUP(IFERROR(VLOOKUP(SUBSTITUTE(E294,"DS ","")&amp;F294,#REF!, 2, 0), ""), user!$B:$D, 3, 0), ""))</f>
        <v/>
      </c>
    </row>
    <row r="295" spans="10:11" x14ac:dyDescent="0.25">
      <c r="J295" s="39"/>
      <c r="K295" s="39"/>
    </row>
    <row r="296" spans="10:11" x14ac:dyDescent="0.25">
      <c r="J296" s="39" t="str">
        <f>IF(E296="", "", IFERROR(VLOOKUP(IFERROR(VLOOKUP(SUBSTITUTE(E296,"DS ","")&amp;F296, wilayahfix!$A:$D, 2, 0), ""), user!$B:$D, 2, 0), "TIDAK KETEMU"))</f>
        <v/>
      </c>
      <c r="K296" s="39" t="str">
        <f>IF(E296="", "", IFERROR(VLOOKUP(IFERROR(VLOOKUP(SUBSTITUTE(E296,"DS ","")&amp;F296,#REF!, 2, 0), ""), user!$B:$D, 3, 0), ""))</f>
        <v/>
      </c>
    </row>
    <row r="297" spans="10:11" x14ac:dyDescent="0.25">
      <c r="J297" s="39"/>
      <c r="K297" s="39"/>
    </row>
    <row r="298" spans="10:11" x14ac:dyDescent="0.25">
      <c r="J298" s="39" t="str">
        <f>IF(E298="", "", IFERROR(VLOOKUP(IFERROR(VLOOKUP(SUBSTITUTE(E298,"DS ","")&amp;F298, wilayahfix!$A:$D, 2, 0), ""), user!$B:$D, 2, 0), "TIDAK KETEMU"))</f>
        <v/>
      </c>
      <c r="K298" s="39" t="str">
        <f>IF(E298="", "", IFERROR(VLOOKUP(IFERROR(VLOOKUP(SUBSTITUTE(E298,"DS ","")&amp;F298,#REF!, 2, 0), ""), user!$B:$D, 3, 0), ""))</f>
        <v/>
      </c>
    </row>
    <row r="299" spans="10:11" x14ac:dyDescent="0.25">
      <c r="J299" s="39"/>
      <c r="K299" s="39"/>
    </row>
    <row r="300" spans="10:11" x14ac:dyDescent="0.25">
      <c r="J300" s="39" t="str">
        <f>IF(E300="", "", IFERROR(VLOOKUP(IFERROR(VLOOKUP(SUBSTITUTE(E300,"DS ","")&amp;F300, wilayahfix!$A:$D, 2, 0), ""), user!$B:$D, 2, 0), "TIDAK KETEMU"))</f>
        <v/>
      </c>
      <c r="K300" s="39" t="str">
        <f>IF(E300="", "", IFERROR(VLOOKUP(IFERROR(VLOOKUP(SUBSTITUTE(E300,"DS ","")&amp;F300,#REF!, 2, 0), ""), user!$B:$D, 3, 0), ""))</f>
        <v/>
      </c>
    </row>
    <row r="301" spans="10:11" x14ac:dyDescent="0.25">
      <c r="J301" s="39"/>
      <c r="K301" s="39"/>
    </row>
    <row r="302" spans="10:11" x14ac:dyDescent="0.25">
      <c r="J302" s="39" t="str">
        <f>IF(E302="", "", IFERROR(VLOOKUP(IFERROR(VLOOKUP(SUBSTITUTE(E302,"DS ","")&amp;F302, wilayahfix!$A:$D, 2, 0), ""), user!$B:$D, 2, 0), "TIDAK KETEMU"))</f>
        <v/>
      </c>
      <c r="K302" s="39" t="str">
        <f>IF(E302="", "", IFERROR(VLOOKUP(IFERROR(VLOOKUP(SUBSTITUTE(E302,"DS ","")&amp;F302,#REF!, 2, 0), ""), user!$B:$D, 3, 0), ""))</f>
        <v/>
      </c>
    </row>
    <row r="303" spans="10:11" x14ac:dyDescent="0.25">
      <c r="J303" s="39"/>
      <c r="K303" s="39"/>
    </row>
    <row r="304" spans="10:11" x14ac:dyDescent="0.25">
      <c r="J304" s="39" t="str">
        <f>IF(E304="", "", IFERROR(VLOOKUP(IFERROR(VLOOKUP(SUBSTITUTE(E304,"DS ","")&amp;F304, wilayahfix!$A:$D, 2, 0), ""), user!$B:$D, 2, 0), "TIDAK KETEMU"))</f>
        <v/>
      </c>
      <c r="K304" s="39" t="str">
        <f>IF(E304="", "", IFERROR(VLOOKUP(IFERROR(VLOOKUP(SUBSTITUTE(E304,"DS ","")&amp;F304,#REF!, 2, 0), ""), user!$B:$D, 3, 0), ""))</f>
        <v/>
      </c>
    </row>
    <row r="305" spans="10:11" x14ac:dyDescent="0.25">
      <c r="J305" s="39"/>
      <c r="K305" s="39"/>
    </row>
    <row r="306" spans="10:11" x14ac:dyDescent="0.25">
      <c r="J306" s="39" t="str">
        <f>IF(E306="", "", IFERROR(VLOOKUP(IFERROR(VLOOKUP(SUBSTITUTE(E306,"DS ","")&amp;F306, wilayahfix!$A:$D, 2, 0), ""), user!$B:$D, 2, 0), "TIDAK KETEMU"))</f>
        <v/>
      </c>
      <c r="K306" s="39" t="str">
        <f>IF(E306="", "", IFERROR(VLOOKUP(IFERROR(VLOOKUP(SUBSTITUTE(E306,"DS ","")&amp;F306,#REF!, 2, 0), ""), user!$B:$D, 3, 0), ""))</f>
        <v/>
      </c>
    </row>
    <row r="307" spans="10:11" x14ac:dyDescent="0.25">
      <c r="J307" s="39"/>
      <c r="K307" s="39"/>
    </row>
    <row r="308" spans="10:11" x14ac:dyDescent="0.25">
      <c r="J308" s="39" t="str">
        <f>IF(E308="", "", IFERROR(VLOOKUP(IFERROR(VLOOKUP(SUBSTITUTE(E308,"DS ","")&amp;F308, wilayahfix!$A:$D, 2, 0), ""), user!$B:$D, 2, 0), "TIDAK KETEMU"))</f>
        <v/>
      </c>
      <c r="K308" s="39" t="str">
        <f>IF(E308="", "", IFERROR(VLOOKUP(IFERROR(VLOOKUP(SUBSTITUTE(E308,"DS ","")&amp;F308,#REF!, 2, 0), ""), user!$B:$D, 3, 0), ""))</f>
        <v/>
      </c>
    </row>
    <row r="309" spans="10:11" x14ac:dyDescent="0.25">
      <c r="J309" s="39"/>
      <c r="K309" s="39"/>
    </row>
    <row r="310" spans="10:11" x14ac:dyDescent="0.25">
      <c r="J310" s="39" t="str">
        <f>IF(E310="", "", IFERROR(VLOOKUP(IFERROR(VLOOKUP(SUBSTITUTE(E310,"DS ","")&amp;F310, wilayahfix!$A:$D, 2, 0), ""), user!$B:$D, 2, 0), "TIDAK KETEMU"))</f>
        <v/>
      </c>
      <c r="K310" s="39" t="str">
        <f>IF(E310="", "", IFERROR(VLOOKUP(IFERROR(VLOOKUP(SUBSTITUTE(E310,"DS ","")&amp;F310,#REF!, 2, 0), ""), user!$B:$D, 3, 0), ""))</f>
        <v/>
      </c>
    </row>
    <row r="311" spans="10:11" x14ac:dyDescent="0.25">
      <c r="J311" s="39"/>
      <c r="K311" s="39"/>
    </row>
    <row r="312" spans="10:11" x14ac:dyDescent="0.25">
      <c r="J312" s="39" t="str">
        <f>IF(E312="", "", IFERROR(VLOOKUP(IFERROR(VLOOKUP(SUBSTITUTE(E312,"DS ","")&amp;F312, wilayahfix!$A:$D, 2, 0), ""), user!$B:$D, 2, 0), "TIDAK KETEMU"))</f>
        <v/>
      </c>
      <c r="K312" s="39" t="str">
        <f>IF(E312="", "", IFERROR(VLOOKUP(IFERROR(VLOOKUP(SUBSTITUTE(E312,"DS ","")&amp;F312,#REF!, 2, 0), ""), user!$B:$D, 3, 0), ""))</f>
        <v/>
      </c>
    </row>
    <row r="313" spans="10:11" x14ac:dyDescent="0.25">
      <c r="J313" s="39"/>
      <c r="K313" s="39"/>
    </row>
    <row r="314" spans="10:11" x14ac:dyDescent="0.25">
      <c r="J314" s="39" t="str">
        <f>IF(E314="", "", IFERROR(VLOOKUP(IFERROR(VLOOKUP(SUBSTITUTE(E314,"DS ","")&amp;F314, wilayahfix!$A:$D, 2, 0), ""), user!$B:$D, 2, 0), "TIDAK KETEMU"))</f>
        <v/>
      </c>
      <c r="K314" s="39" t="str">
        <f>IF(E314="", "", IFERROR(VLOOKUP(IFERROR(VLOOKUP(SUBSTITUTE(E314,"DS ","")&amp;F314,#REF!, 2, 0), ""), user!$B:$D, 3, 0), ""))</f>
        <v/>
      </c>
    </row>
    <row r="315" spans="10:11" x14ac:dyDescent="0.25">
      <c r="J315" s="39"/>
      <c r="K315" s="39"/>
    </row>
    <row r="316" spans="10:11" x14ac:dyDescent="0.25">
      <c r="J316" s="39" t="str">
        <f>IF(E316="", "", IFERROR(VLOOKUP(IFERROR(VLOOKUP(SUBSTITUTE(E316,"DS ","")&amp;F316, wilayahfix!$A:$D, 2, 0), ""), user!$B:$D, 2, 0), "TIDAK KETEMU"))</f>
        <v/>
      </c>
      <c r="K316" s="39" t="str">
        <f>IF(E316="", "", IFERROR(VLOOKUP(IFERROR(VLOOKUP(SUBSTITUTE(E316,"DS ","")&amp;F316,#REF!, 2, 0), ""), user!$B:$D, 3, 0), ""))</f>
        <v/>
      </c>
    </row>
    <row r="317" spans="10:11" x14ac:dyDescent="0.25">
      <c r="J317" s="39"/>
      <c r="K317" s="39"/>
    </row>
    <row r="318" spans="10:11" x14ac:dyDescent="0.25">
      <c r="J318" s="39" t="str">
        <f>IF(E318="", "", IFERROR(VLOOKUP(IFERROR(VLOOKUP(SUBSTITUTE(E318,"DS ","")&amp;F318, wilayahfix!$A:$D, 2, 0), ""), user!$B:$D, 2, 0), "TIDAK KETEMU"))</f>
        <v/>
      </c>
      <c r="K318" s="39" t="str">
        <f>IF(E318="", "", IFERROR(VLOOKUP(IFERROR(VLOOKUP(SUBSTITUTE(E318,"DS ","")&amp;F318,#REF!, 2, 0), ""), user!$B:$D, 3, 0), ""))</f>
        <v/>
      </c>
    </row>
    <row r="319" spans="10:11" x14ac:dyDescent="0.25">
      <c r="J319" s="39"/>
      <c r="K319" s="39"/>
    </row>
    <row r="320" spans="10:11" x14ac:dyDescent="0.25">
      <c r="J320" s="39" t="str">
        <f>IF(E320="", "", IFERROR(VLOOKUP(IFERROR(VLOOKUP(SUBSTITUTE(E320,"DS ","")&amp;F320, wilayahfix!$A:$D, 2, 0), ""), user!$B:$D, 2, 0), "TIDAK KETEMU"))</f>
        <v/>
      </c>
      <c r="K320" s="39" t="str">
        <f>IF(E320="", "", IFERROR(VLOOKUP(IFERROR(VLOOKUP(SUBSTITUTE(E320,"DS ","")&amp;F320,#REF!, 2, 0), ""), user!$B:$D, 3, 0), ""))</f>
        <v/>
      </c>
    </row>
    <row r="321" spans="10:11" x14ac:dyDescent="0.25">
      <c r="J321" s="39"/>
      <c r="K321" s="39"/>
    </row>
    <row r="322" spans="10:11" x14ac:dyDescent="0.25">
      <c r="J322" s="39" t="str">
        <f>IF(E322="", "", IFERROR(VLOOKUP(IFERROR(VLOOKUP(SUBSTITUTE(E322,"DS ","")&amp;F322, wilayahfix!$A:$D, 2, 0), ""), user!$B:$D, 2, 0), "TIDAK KETEMU"))</f>
        <v/>
      </c>
      <c r="K322" s="39" t="str">
        <f>IF(E322="", "", IFERROR(VLOOKUP(IFERROR(VLOOKUP(SUBSTITUTE(E322,"DS ","")&amp;F322,#REF!, 2, 0), ""), user!$B:$D, 3, 0), ""))</f>
        <v/>
      </c>
    </row>
    <row r="323" spans="10:11" x14ac:dyDescent="0.25">
      <c r="J323" s="39"/>
      <c r="K323" s="39"/>
    </row>
    <row r="324" spans="10:11" x14ac:dyDescent="0.25">
      <c r="J324" s="39" t="str">
        <f>IF(E324="", "", IFERROR(VLOOKUP(IFERROR(VLOOKUP(SUBSTITUTE(E324,"DS ","")&amp;F324, wilayahfix!$A:$D, 2, 0), ""), user!$B:$D, 2, 0), "TIDAK KETEMU"))</f>
        <v/>
      </c>
      <c r="K324" s="39" t="str">
        <f>IF(E324="", "", IFERROR(VLOOKUP(IFERROR(VLOOKUP(SUBSTITUTE(E324,"DS ","")&amp;F324,#REF!, 2, 0), ""), user!$B:$D, 3, 0), ""))</f>
        <v/>
      </c>
    </row>
    <row r="325" spans="10:11" x14ac:dyDescent="0.25">
      <c r="J325" s="39"/>
      <c r="K325" s="39"/>
    </row>
    <row r="326" spans="10:11" x14ac:dyDescent="0.25">
      <c r="J326" s="39" t="str">
        <f>IF(E326="", "", IFERROR(VLOOKUP(IFERROR(VLOOKUP(SUBSTITUTE(E326,"DS ","")&amp;F326, wilayahfix!$A:$D, 2, 0), ""), user!$B:$D, 2, 0), "TIDAK KETEMU"))</f>
        <v/>
      </c>
      <c r="K326" s="39" t="str">
        <f>IF(E326="", "", IFERROR(VLOOKUP(IFERROR(VLOOKUP(SUBSTITUTE(E326,"DS ","")&amp;F326,#REF!, 2, 0), ""), user!$B:$D, 3, 0), ""))</f>
        <v/>
      </c>
    </row>
    <row r="327" spans="10:11" x14ac:dyDescent="0.25">
      <c r="J327" s="39"/>
      <c r="K327" s="39"/>
    </row>
    <row r="328" spans="10:11" x14ac:dyDescent="0.25">
      <c r="J328" s="39" t="str">
        <f>IF(E328="", "", IFERROR(VLOOKUP(IFERROR(VLOOKUP(SUBSTITUTE(E328,"DS ","")&amp;F328, wilayahfix!$A:$D, 2, 0), ""), user!$B:$D, 2, 0), "TIDAK KETEMU"))</f>
        <v/>
      </c>
      <c r="K328" s="39" t="str">
        <f>IF(E328="", "", IFERROR(VLOOKUP(IFERROR(VLOOKUP(SUBSTITUTE(E328,"DS ","")&amp;F328,#REF!, 2, 0), ""), user!$B:$D, 3, 0), ""))</f>
        <v/>
      </c>
    </row>
    <row r="329" spans="10:11" x14ac:dyDescent="0.25">
      <c r="J329" s="39"/>
      <c r="K329" s="39"/>
    </row>
    <row r="330" spans="10:11" x14ac:dyDescent="0.25">
      <c r="J330" s="39" t="str">
        <f>IF(E330="", "", IFERROR(VLOOKUP(IFERROR(VLOOKUP(SUBSTITUTE(E330,"DS ","")&amp;F330, wilayahfix!$A:$D, 2, 0), ""), user!$B:$D, 2, 0), "TIDAK KETEMU"))</f>
        <v/>
      </c>
      <c r="K330" s="39" t="str">
        <f>IF(E330="", "", IFERROR(VLOOKUP(IFERROR(VLOOKUP(SUBSTITUTE(E330,"DS ","")&amp;F330,#REF!, 2, 0), ""), user!$B:$D, 3, 0), ""))</f>
        <v/>
      </c>
    </row>
    <row r="331" spans="10:11" x14ac:dyDescent="0.25">
      <c r="J331" s="39"/>
      <c r="K331" s="39"/>
    </row>
    <row r="332" spans="10:11" x14ac:dyDescent="0.25">
      <c r="J332" s="39" t="str">
        <f>IF(E332="", "", IFERROR(VLOOKUP(IFERROR(VLOOKUP(SUBSTITUTE(E332,"DS ","")&amp;F332, wilayahfix!$A:$D, 2, 0), ""), user!$B:$D, 2, 0), "TIDAK KETEMU"))</f>
        <v/>
      </c>
      <c r="K332" s="39" t="str">
        <f>IF(E332="", "", IFERROR(VLOOKUP(IFERROR(VLOOKUP(SUBSTITUTE(E332,"DS ","")&amp;F332,#REF!, 2, 0), ""), user!$B:$D, 3, 0), ""))</f>
        <v/>
      </c>
    </row>
    <row r="333" spans="10:11" x14ac:dyDescent="0.25">
      <c r="J333" s="39"/>
      <c r="K333" s="39"/>
    </row>
    <row r="334" spans="10:11" x14ac:dyDescent="0.25">
      <c r="J334" s="39" t="str">
        <f>IF(E334="", "", IFERROR(VLOOKUP(IFERROR(VLOOKUP(SUBSTITUTE(E334,"DS ","")&amp;F334, wilayahfix!$A:$D, 2, 0), ""), user!$B:$D, 2, 0), "TIDAK KETEMU"))</f>
        <v/>
      </c>
      <c r="K334" s="39" t="str">
        <f>IF(E334="", "", IFERROR(VLOOKUP(IFERROR(VLOOKUP(SUBSTITUTE(E334,"DS ","")&amp;F334,#REF!, 2, 0), ""), user!$B:$D, 3, 0), ""))</f>
        <v/>
      </c>
    </row>
    <row r="335" spans="10:11" x14ac:dyDescent="0.25">
      <c r="J335" s="39"/>
      <c r="K335" s="39"/>
    </row>
    <row r="336" spans="10:11" x14ac:dyDescent="0.25">
      <c r="J336" s="39" t="str">
        <f>IF(E336="", "", IFERROR(VLOOKUP(IFERROR(VLOOKUP(SUBSTITUTE(E336,"DS ","")&amp;F336, wilayahfix!$A:$D, 2, 0), ""), user!$B:$D, 2, 0), "TIDAK KETEMU"))</f>
        <v/>
      </c>
      <c r="K336" s="39" t="str">
        <f>IF(E336="", "", IFERROR(VLOOKUP(IFERROR(VLOOKUP(SUBSTITUTE(E336,"DS ","")&amp;F336,#REF!, 2, 0), ""), user!$B:$D, 3, 0), ""))</f>
        <v/>
      </c>
    </row>
    <row r="337" spans="10:11" x14ac:dyDescent="0.25">
      <c r="J337" s="39"/>
      <c r="K337" s="39"/>
    </row>
    <row r="338" spans="10:11" x14ac:dyDescent="0.25">
      <c r="J338" s="39" t="str">
        <f>IF(E338="", "", IFERROR(VLOOKUP(IFERROR(VLOOKUP(SUBSTITUTE(E338,"DS ","")&amp;F338, wilayahfix!$A:$D, 2, 0), ""), user!$B:$D, 2, 0), "TIDAK KETEMU"))</f>
        <v/>
      </c>
      <c r="K338" s="39" t="str">
        <f>IF(E338="", "", IFERROR(VLOOKUP(IFERROR(VLOOKUP(SUBSTITUTE(E338,"DS ","")&amp;F338,#REF!, 2, 0), ""), user!$B:$D, 3, 0), ""))</f>
        <v/>
      </c>
    </row>
    <row r="339" spans="10:11" x14ac:dyDescent="0.25">
      <c r="J339" s="39"/>
      <c r="K339" s="39"/>
    </row>
    <row r="340" spans="10:11" x14ac:dyDescent="0.25">
      <c r="J340" s="39" t="str">
        <f>IF(E340="", "", IFERROR(VLOOKUP(IFERROR(VLOOKUP(SUBSTITUTE(E340,"DS ","")&amp;F340, wilayahfix!$A:$D, 2, 0), ""), user!$B:$D, 2, 0), "TIDAK KETEMU"))</f>
        <v/>
      </c>
      <c r="K340" s="39" t="str">
        <f>IF(E340="", "", IFERROR(VLOOKUP(IFERROR(VLOOKUP(SUBSTITUTE(E340,"DS ","")&amp;F340,#REF!, 2, 0), ""), user!$B:$D, 3, 0), ""))</f>
        <v/>
      </c>
    </row>
    <row r="341" spans="10:11" x14ac:dyDescent="0.25">
      <c r="J341" s="39"/>
      <c r="K341" s="39"/>
    </row>
    <row r="342" spans="10:11" x14ac:dyDescent="0.25">
      <c r="J342" s="39" t="str">
        <f>IF(E342="", "", IFERROR(VLOOKUP(IFERROR(VLOOKUP(SUBSTITUTE(E342,"DS ","")&amp;F342, wilayahfix!$A:$D, 2, 0), ""), user!$B:$D, 2, 0), "TIDAK KETEMU"))</f>
        <v/>
      </c>
      <c r="K342" s="39" t="str">
        <f>IF(E342="", "", IFERROR(VLOOKUP(IFERROR(VLOOKUP(SUBSTITUTE(E342,"DS ","")&amp;F342,#REF!, 2, 0), ""), user!$B:$D, 3, 0), ""))</f>
        <v/>
      </c>
    </row>
    <row r="343" spans="10:11" x14ac:dyDescent="0.25">
      <c r="J343" s="39"/>
      <c r="K343" s="39"/>
    </row>
    <row r="344" spans="10:11" x14ac:dyDescent="0.25">
      <c r="J344" s="39" t="str">
        <f>IF(E344="", "", IFERROR(VLOOKUP(IFERROR(VLOOKUP(SUBSTITUTE(E344,"DS ","")&amp;F344, wilayahfix!$A:$D, 2, 0), ""), user!$B:$D, 2, 0), "TIDAK KETEMU"))</f>
        <v/>
      </c>
      <c r="K344" s="39" t="str">
        <f>IF(E344="", "", IFERROR(VLOOKUP(IFERROR(VLOOKUP(SUBSTITUTE(E344,"DS ","")&amp;F344,#REF!, 2, 0), ""), user!$B:$D, 3, 0), ""))</f>
        <v/>
      </c>
    </row>
    <row r="345" spans="10:11" x14ac:dyDescent="0.25">
      <c r="J345" s="39"/>
      <c r="K345" s="39"/>
    </row>
    <row r="346" spans="10:11" x14ac:dyDescent="0.25">
      <c r="J346" s="39" t="str">
        <f>IF(E346="", "", IFERROR(VLOOKUP(IFERROR(VLOOKUP(SUBSTITUTE(E346,"DS ","")&amp;F346, wilayahfix!$A:$D, 2, 0), ""), user!$B:$D, 2, 0), "TIDAK KETEMU"))</f>
        <v/>
      </c>
      <c r="K346" s="39" t="str">
        <f>IF(E346="", "", IFERROR(VLOOKUP(IFERROR(VLOOKUP(SUBSTITUTE(E346,"DS ","")&amp;F346,#REF!, 2, 0), ""), user!$B:$D, 3, 0), ""))</f>
        <v/>
      </c>
    </row>
    <row r="347" spans="10:11" x14ac:dyDescent="0.25">
      <c r="J347" s="39"/>
      <c r="K347" s="39"/>
    </row>
    <row r="348" spans="10:11" x14ac:dyDescent="0.25">
      <c r="J348" s="39" t="str">
        <f>IF(E348="", "", IFERROR(VLOOKUP(IFERROR(VLOOKUP(SUBSTITUTE(E348,"DS ","")&amp;F348, wilayahfix!$A:$D, 2, 0), ""), user!$B:$D, 2, 0), "TIDAK KETEMU"))</f>
        <v/>
      </c>
      <c r="K348" s="39" t="str">
        <f>IF(E348="", "", IFERROR(VLOOKUP(IFERROR(VLOOKUP(SUBSTITUTE(E348,"DS ","")&amp;F348,#REF!, 2, 0), ""), user!$B:$D, 3, 0), ""))</f>
        <v/>
      </c>
    </row>
    <row r="349" spans="10:11" x14ac:dyDescent="0.25">
      <c r="J349" s="39"/>
      <c r="K349" s="39"/>
    </row>
    <row r="350" spans="10:11" x14ac:dyDescent="0.25">
      <c r="J350" s="39" t="str">
        <f>IF(E350="", "", IFERROR(VLOOKUP(IFERROR(VLOOKUP(SUBSTITUTE(E350,"DS ","")&amp;F350, wilayahfix!$A:$D, 2, 0), ""), user!$B:$D, 2, 0), "TIDAK KETEMU"))</f>
        <v/>
      </c>
      <c r="K350" s="39" t="str">
        <f>IF(E350="", "", IFERROR(VLOOKUP(IFERROR(VLOOKUP(SUBSTITUTE(E350,"DS ","")&amp;F350,#REF!, 2, 0), ""), user!$B:$D, 3, 0), ""))</f>
        <v/>
      </c>
    </row>
    <row r="351" spans="10:11" x14ac:dyDescent="0.25">
      <c r="J351" s="39"/>
      <c r="K351" s="39"/>
    </row>
    <row r="352" spans="10:11" x14ac:dyDescent="0.25">
      <c r="J352" s="39" t="str">
        <f>IF(E352="", "", IFERROR(VLOOKUP(IFERROR(VLOOKUP(SUBSTITUTE(E352,"DS ","")&amp;F352, wilayahfix!$A:$D, 2, 0), ""), user!$B:$D, 2, 0), "TIDAK KETEMU"))</f>
        <v/>
      </c>
      <c r="K352" s="39" t="str">
        <f>IF(E352="", "", IFERROR(VLOOKUP(IFERROR(VLOOKUP(SUBSTITUTE(E352,"DS ","")&amp;F352,#REF!, 2, 0), ""), user!$B:$D, 3, 0), ""))</f>
        <v/>
      </c>
    </row>
    <row r="353" spans="10:11" x14ac:dyDescent="0.25">
      <c r="J353" s="39"/>
      <c r="K353" s="39"/>
    </row>
    <row r="354" spans="10:11" x14ac:dyDescent="0.25">
      <c r="J354" s="39" t="str">
        <f>IF(E354="", "", IFERROR(VLOOKUP(IFERROR(VLOOKUP(SUBSTITUTE(E354,"DS ","")&amp;F354, wilayahfix!$A:$D, 2, 0), ""), user!$B:$D, 2, 0), "TIDAK KETEMU"))</f>
        <v/>
      </c>
      <c r="K354" s="39" t="str">
        <f>IF(E354="", "", IFERROR(VLOOKUP(IFERROR(VLOOKUP(SUBSTITUTE(E354,"DS ","")&amp;F354,#REF!, 2, 0), ""), user!$B:$D, 3, 0), ""))</f>
        <v/>
      </c>
    </row>
    <row r="355" spans="10:11" x14ac:dyDescent="0.25">
      <c r="J355" s="39"/>
      <c r="K355" s="39"/>
    </row>
    <row r="356" spans="10:11" x14ac:dyDescent="0.25">
      <c r="J356" s="39" t="str">
        <f>IF(E356="", "", IFERROR(VLOOKUP(IFERROR(VLOOKUP(SUBSTITUTE(E356,"DS ","")&amp;F356, wilayahfix!$A:$D, 2, 0), ""), user!$B:$D, 2, 0), "TIDAK KETEMU"))</f>
        <v/>
      </c>
      <c r="K356" s="39" t="str">
        <f>IF(E356="", "", IFERROR(VLOOKUP(IFERROR(VLOOKUP(SUBSTITUTE(E356,"DS ","")&amp;F356,#REF!, 2, 0), ""), user!$B:$D, 3, 0), ""))</f>
        <v/>
      </c>
    </row>
    <row r="357" spans="10:11" x14ac:dyDescent="0.25">
      <c r="J357" s="39"/>
      <c r="K357" s="39"/>
    </row>
    <row r="358" spans="10:11" x14ac:dyDescent="0.25">
      <c r="J358" s="39" t="str">
        <f>IF(E358="", "", IFERROR(VLOOKUP(IFERROR(VLOOKUP(SUBSTITUTE(E358,"DS ","")&amp;F358, wilayahfix!$A:$D, 2, 0), ""), user!$B:$D, 2, 0), "TIDAK KETEMU"))</f>
        <v/>
      </c>
      <c r="K358" s="39" t="str">
        <f>IF(E358="", "", IFERROR(VLOOKUP(IFERROR(VLOOKUP(SUBSTITUTE(E358,"DS ","")&amp;F358,#REF!, 2, 0), ""), user!$B:$D, 3, 0), ""))</f>
        <v/>
      </c>
    </row>
    <row r="359" spans="10:11" x14ac:dyDescent="0.25">
      <c r="J359" s="39"/>
      <c r="K359" s="39"/>
    </row>
    <row r="360" spans="10:11" x14ac:dyDescent="0.25">
      <c r="J360" s="39" t="str">
        <f>IF(E360="", "", IFERROR(VLOOKUP(IFERROR(VLOOKUP(SUBSTITUTE(E360,"DS ","")&amp;F360, wilayahfix!$A:$D, 2, 0), ""), user!$B:$D, 2, 0), "TIDAK KETEMU"))</f>
        <v/>
      </c>
      <c r="K360" s="39" t="str">
        <f>IF(E360="", "", IFERROR(VLOOKUP(IFERROR(VLOOKUP(SUBSTITUTE(E360,"DS ","")&amp;F360,#REF!, 2, 0), ""), user!$B:$D, 3, 0), ""))</f>
        <v/>
      </c>
    </row>
    <row r="361" spans="10:11" x14ac:dyDescent="0.25">
      <c r="J361" s="39"/>
      <c r="K361" s="39"/>
    </row>
    <row r="362" spans="10:11" x14ac:dyDescent="0.25">
      <c r="J362" s="39" t="str">
        <f>IF(E362="", "", IFERROR(VLOOKUP(IFERROR(VLOOKUP(SUBSTITUTE(E362,"DS ","")&amp;F362, wilayahfix!$A:$D, 2, 0), ""), user!$B:$D, 2, 0), "TIDAK KETEMU"))</f>
        <v/>
      </c>
      <c r="K362" s="39" t="str">
        <f>IF(E362="", "", IFERROR(VLOOKUP(IFERROR(VLOOKUP(SUBSTITUTE(E362,"DS ","")&amp;F362,#REF!, 2, 0), ""), user!$B:$D, 3, 0), ""))</f>
        <v/>
      </c>
    </row>
    <row r="363" spans="10:11" x14ac:dyDescent="0.25">
      <c r="J363" s="39"/>
      <c r="K363" s="39"/>
    </row>
    <row r="364" spans="10:11" x14ac:dyDescent="0.25">
      <c r="J364" s="39" t="str">
        <f>IF(E364="", "", IFERROR(VLOOKUP(IFERROR(VLOOKUP(SUBSTITUTE(E364,"DS ","")&amp;F364, wilayahfix!$A:$D, 2, 0), ""), user!$B:$D, 2, 0), "TIDAK KETEMU"))</f>
        <v/>
      </c>
      <c r="K364" s="39" t="str">
        <f>IF(E364="", "", IFERROR(VLOOKUP(IFERROR(VLOOKUP(SUBSTITUTE(E364,"DS ","")&amp;F364,#REF!, 2, 0), ""), user!$B:$D, 3, 0), ""))</f>
        <v/>
      </c>
    </row>
    <row r="365" spans="10:11" x14ac:dyDescent="0.25">
      <c r="J365" s="39"/>
      <c r="K365" s="39"/>
    </row>
    <row r="366" spans="10:11" x14ac:dyDescent="0.25">
      <c r="J366" s="39" t="str">
        <f>IF(E366="", "", IFERROR(VLOOKUP(IFERROR(VLOOKUP(SUBSTITUTE(E366,"DS ","")&amp;F366, wilayahfix!$A:$D, 2, 0), ""), user!$B:$D, 2, 0), "TIDAK KETEMU"))</f>
        <v/>
      </c>
      <c r="K366" s="39" t="str">
        <f>IF(E366="", "", IFERROR(VLOOKUP(IFERROR(VLOOKUP(SUBSTITUTE(E366,"DS ","")&amp;F366,#REF!, 2, 0), ""), user!$B:$D, 3, 0), ""))</f>
        <v/>
      </c>
    </row>
    <row r="367" spans="10:11" x14ac:dyDescent="0.25">
      <c r="J367" s="39"/>
      <c r="K367" s="39"/>
    </row>
    <row r="368" spans="10:11" x14ac:dyDescent="0.25">
      <c r="J368" s="39" t="str">
        <f>IF(E368="", "", IFERROR(VLOOKUP(IFERROR(VLOOKUP(SUBSTITUTE(E368,"DS ","")&amp;F368, wilayahfix!$A:$D, 2, 0), ""), user!$B:$D, 2, 0), "TIDAK KETEMU"))</f>
        <v/>
      </c>
      <c r="K368" s="39" t="str">
        <f>IF(E368="", "", IFERROR(VLOOKUP(IFERROR(VLOOKUP(SUBSTITUTE(E368,"DS ","")&amp;F368,#REF!, 2, 0), ""), user!$B:$D, 3, 0), ""))</f>
        <v/>
      </c>
    </row>
    <row r="369" spans="10:11" x14ac:dyDescent="0.25">
      <c r="J369" s="39"/>
      <c r="K369" s="39"/>
    </row>
    <row r="370" spans="10:11" x14ac:dyDescent="0.25">
      <c r="J370" s="39" t="str">
        <f>IF(E370="", "", IFERROR(VLOOKUP(IFERROR(VLOOKUP(SUBSTITUTE(E370,"DS ","")&amp;F370, wilayahfix!$A:$D, 2, 0), ""), user!$B:$D, 2, 0), "TIDAK KETEMU"))</f>
        <v/>
      </c>
      <c r="K370" s="39" t="str">
        <f>IF(E370="", "", IFERROR(VLOOKUP(IFERROR(VLOOKUP(SUBSTITUTE(E370,"DS ","")&amp;F370,#REF!, 2, 0), ""), user!$B:$D, 3, 0), ""))</f>
        <v/>
      </c>
    </row>
    <row r="371" spans="10:11" x14ac:dyDescent="0.25">
      <c r="J371" s="39"/>
      <c r="K371" s="39"/>
    </row>
    <row r="372" spans="10:11" x14ac:dyDescent="0.25">
      <c r="J372" s="39" t="str">
        <f>IF(E372="", "", IFERROR(VLOOKUP(IFERROR(VLOOKUP(SUBSTITUTE(E372,"DS ","")&amp;F372, wilayahfix!$A:$D, 2, 0), ""), user!$B:$D, 2, 0), "TIDAK KETEMU"))</f>
        <v/>
      </c>
      <c r="K372" s="39" t="str">
        <f>IF(E372="", "", IFERROR(VLOOKUP(IFERROR(VLOOKUP(SUBSTITUTE(E372,"DS ","")&amp;F372,#REF!, 2, 0), ""), user!$B:$D, 3, 0), ""))</f>
        <v/>
      </c>
    </row>
    <row r="373" spans="10:11" x14ac:dyDescent="0.25">
      <c r="J373" s="39"/>
      <c r="K373" s="39"/>
    </row>
    <row r="374" spans="10:11" x14ac:dyDescent="0.25">
      <c r="J374" s="39" t="str">
        <f>IF(E374="", "", IFERROR(VLOOKUP(IFERROR(VLOOKUP(SUBSTITUTE(E374,"DS ","")&amp;F374, wilayahfix!$A:$D, 2, 0), ""), user!$B:$D, 2, 0), "TIDAK KETEMU"))</f>
        <v/>
      </c>
      <c r="K374" s="39" t="str">
        <f>IF(E374="", "", IFERROR(VLOOKUP(IFERROR(VLOOKUP(SUBSTITUTE(E374,"DS ","")&amp;F374,#REF!, 2, 0), ""), user!$B:$D, 3, 0), ""))</f>
        <v/>
      </c>
    </row>
    <row r="375" spans="10:11" x14ac:dyDescent="0.25">
      <c r="J375" s="39"/>
      <c r="K375" s="39"/>
    </row>
    <row r="376" spans="10:11" x14ac:dyDescent="0.25">
      <c r="J376" s="39" t="str">
        <f>IF(E376="", "", IFERROR(VLOOKUP(IFERROR(VLOOKUP(SUBSTITUTE(E376,"DS ","")&amp;F376, wilayahfix!$A:$D, 2, 0), ""), user!$B:$D, 2, 0), "TIDAK KETEMU"))</f>
        <v/>
      </c>
      <c r="K376" s="39" t="str">
        <f>IF(E376="", "", IFERROR(VLOOKUP(IFERROR(VLOOKUP(SUBSTITUTE(E376,"DS ","")&amp;F376,#REF!, 2, 0), ""), user!$B:$D, 3, 0), ""))</f>
        <v/>
      </c>
    </row>
    <row r="377" spans="10:11" x14ac:dyDescent="0.25">
      <c r="J377" s="39"/>
      <c r="K377" s="39"/>
    </row>
    <row r="378" spans="10:11" x14ac:dyDescent="0.25">
      <c r="J378" s="39" t="str">
        <f>IF(E378="", "", IFERROR(VLOOKUP(IFERROR(VLOOKUP(SUBSTITUTE(E378,"DS ","")&amp;F378, wilayahfix!$A:$D, 2, 0), ""), user!$B:$D, 2, 0), "TIDAK KETEMU"))</f>
        <v/>
      </c>
      <c r="K378" s="39" t="str">
        <f>IF(E378="", "", IFERROR(VLOOKUP(IFERROR(VLOOKUP(SUBSTITUTE(E378,"DS ","")&amp;F378,#REF!, 2, 0), ""), user!$B:$D, 3, 0), ""))</f>
        <v/>
      </c>
    </row>
    <row r="379" spans="10:11" x14ac:dyDescent="0.25">
      <c r="J379" s="39"/>
      <c r="K379" s="39"/>
    </row>
    <row r="380" spans="10:11" x14ac:dyDescent="0.25">
      <c r="J380" s="39" t="str">
        <f>IF(E380="", "", IFERROR(VLOOKUP(IFERROR(VLOOKUP(SUBSTITUTE(E380,"DS ","")&amp;F380, wilayahfix!$A:$D, 2, 0), ""), user!$B:$D, 2, 0), "TIDAK KETEMU"))</f>
        <v/>
      </c>
      <c r="K380" s="39" t="str">
        <f>IF(E380="", "", IFERROR(VLOOKUP(IFERROR(VLOOKUP(SUBSTITUTE(E380,"DS ","")&amp;F380,#REF!, 2, 0), ""), user!$B:$D, 3, 0), ""))</f>
        <v/>
      </c>
    </row>
    <row r="381" spans="10:11" x14ac:dyDescent="0.25">
      <c r="J381" s="39"/>
      <c r="K381" s="39"/>
    </row>
    <row r="382" spans="10:11" x14ac:dyDescent="0.25">
      <c r="J382" s="39" t="str">
        <f>IF(E382="", "", IFERROR(VLOOKUP(IFERROR(VLOOKUP(SUBSTITUTE(E382,"DS ","")&amp;F382, wilayahfix!$A:$D, 2, 0), ""), user!$B:$D, 2, 0), "TIDAK KETEMU"))</f>
        <v/>
      </c>
      <c r="K382" s="39" t="str">
        <f>IF(E382="", "", IFERROR(VLOOKUP(IFERROR(VLOOKUP(SUBSTITUTE(E382,"DS ","")&amp;F382,#REF!, 2, 0), ""), user!$B:$D, 3, 0), ""))</f>
        <v/>
      </c>
    </row>
    <row r="383" spans="10:11" x14ac:dyDescent="0.25">
      <c r="J383" s="39"/>
      <c r="K383" s="39"/>
    </row>
    <row r="384" spans="10:11" x14ac:dyDescent="0.25">
      <c r="J384" s="39" t="str">
        <f>IF(E384="", "", IFERROR(VLOOKUP(IFERROR(VLOOKUP(SUBSTITUTE(E384,"DS ","")&amp;F384, wilayahfix!$A:$D, 2, 0), ""), user!$B:$D, 2, 0), "TIDAK KETEMU"))</f>
        <v/>
      </c>
      <c r="K384" s="39" t="str">
        <f>IF(E384="", "", IFERROR(VLOOKUP(IFERROR(VLOOKUP(SUBSTITUTE(E384,"DS ","")&amp;F384,#REF!, 2, 0), ""), user!$B:$D, 3, 0), ""))</f>
        <v/>
      </c>
    </row>
    <row r="385" spans="10:11" x14ac:dyDescent="0.25">
      <c r="J385" s="39"/>
      <c r="K385" s="39"/>
    </row>
    <row r="386" spans="10:11" x14ac:dyDescent="0.25">
      <c r="J386" s="39" t="str">
        <f>IF(E386="", "", IFERROR(VLOOKUP(IFERROR(VLOOKUP(SUBSTITUTE(E386,"DS ","")&amp;F386, wilayahfix!$A:$D, 2, 0), ""), user!$B:$D, 2, 0), "TIDAK KETEMU"))</f>
        <v/>
      </c>
      <c r="K386" s="39" t="str">
        <f>IF(E386="", "", IFERROR(VLOOKUP(IFERROR(VLOOKUP(SUBSTITUTE(E386,"DS ","")&amp;F386,#REF!, 2, 0), ""), user!$B:$D, 3, 0), ""))</f>
        <v/>
      </c>
    </row>
    <row r="387" spans="10:11" x14ac:dyDescent="0.25">
      <c r="J387" s="39"/>
      <c r="K387" s="39"/>
    </row>
    <row r="388" spans="10:11" x14ac:dyDescent="0.25">
      <c r="J388" s="39" t="str">
        <f>IF(E388="", "", IFERROR(VLOOKUP(IFERROR(VLOOKUP(SUBSTITUTE(E388,"DS ","")&amp;F388, wilayahfix!$A:$D, 2, 0), ""), user!$B:$D, 2, 0), "TIDAK KETEMU"))</f>
        <v/>
      </c>
      <c r="K388" s="39" t="str">
        <f>IF(E388="", "", IFERROR(VLOOKUP(IFERROR(VLOOKUP(SUBSTITUTE(E388,"DS ","")&amp;F388,#REF!, 2, 0), ""), user!$B:$D, 3, 0), ""))</f>
        <v/>
      </c>
    </row>
    <row r="389" spans="10:11" x14ac:dyDescent="0.25">
      <c r="J389" s="39"/>
      <c r="K389" s="39"/>
    </row>
    <row r="390" spans="10:11" x14ac:dyDescent="0.25">
      <c r="J390" s="39" t="str">
        <f>IF(E390="", "", IFERROR(VLOOKUP(IFERROR(VLOOKUP(SUBSTITUTE(E390,"DS ","")&amp;F390, wilayahfix!$A:$D, 2, 0), ""), user!$B:$D, 2, 0), "TIDAK KETEMU"))</f>
        <v/>
      </c>
      <c r="K390" s="39" t="str">
        <f>IF(E390="", "", IFERROR(VLOOKUP(IFERROR(VLOOKUP(SUBSTITUTE(E390,"DS ","")&amp;F390,#REF!, 2, 0), ""), user!$B:$D, 3, 0), ""))</f>
        <v/>
      </c>
    </row>
    <row r="391" spans="10:11" x14ac:dyDescent="0.25">
      <c r="J391" s="39"/>
      <c r="K391" s="39"/>
    </row>
    <row r="392" spans="10:11" x14ac:dyDescent="0.25">
      <c r="J392" s="39" t="str">
        <f>IF(E392="", "", IFERROR(VLOOKUP(IFERROR(VLOOKUP(SUBSTITUTE(E392,"DS ","")&amp;F392, wilayahfix!$A:$D, 2, 0), ""), user!$B:$D, 2, 0), "TIDAK KETEMU"))</f>
        <v/>
      </c>
      <c r="K392" s="39" t="str">
        <f>IF(E392="", "", IFERROR(VLOOKUP(IFERROR(VLOOKUP(SUBSTITUTE(E392,"DS ","")&amp;F392,#REF!, 2, 0), ""), user!$B:$D, 3, 0), ""))</f>
        <v/>
      </c>
    </row>
    <row r="393" spans="10:11" x14ac:dyDescent="0.25">
      <c r="J393" s="39"/>
      <c r="K393" s="39"/>
    </row>
    <row r="394" spans="10:11" x14ac:dyDescent="0.25">
      <c r="J394" s="39" t="str">
        <f>IF(E394="", "", IFERROR(VLOOKUP(IFERROR(VLOOKUP(SUBSTITUTE(E394,"DS ","")&amp;F394, wilayahfix!$A:$D, 2, 0), ""), user!$B:$D, 2, 0), "TIDAK KETEMU"))</f>
        <v/>
      </c>
      <c r="K394" s="39" t="str">
        <f>IF(E394="", "", IFERROR(VLOOKUP(IFERROR(VLOOKUP(SUBSTITUTE(E394,"DS ","")&amp;F394,#REF!, 2, 0), ""), user!$B:$D, 3, 0), ""))</f>
        <v/>
      </c>
    </row>
    <row r="395" spans="10:11" x14ac:dyDescent="0.25">
      <c r="J395" s="39"/>
      <c r="K395" s="39"/>
    </row>
    <row r="396" spans="10:11" x14ac:dyDescent="0.25">
      <c r="J396" s="39" t="str">
        <f>IF(E396="", "", IFERROR(VLOOKUP(IFERROR(VLOOKUP(SUBSTITUTE(E396,"DS ","")&amp;F396, wilayahfix!$A:$D, 2, 0), ""), user!$B:$D, 2, 0), "TIDAK KETEMU"))</f>
        <v/>
      </c>
      <c r="K396" s="39" t="str">
        <f>IF(E396="", "", IFERROR(VLOOKUP(IFERROR(VLOOKUP(SUBSTITUTE(E396,"DS ","")&amp;F396,#REF!, 2, 0), ""), user!$B:$D, 3, 0), ""))</f>
        <v/>
      </c>
    </row>
    <row r="397" spans="10:11" x14ac:dyDescent="0.25">
      <c r="J397" s="39"/>
      <c r="K397" s="39"/>
    </row>
    <row r="398" spans="10:11" x14ac:dyDescent="0.25">
      <c r="J398" s="39" t="str">
        <f>IF(E398="", "", IFERROR(VLOOKUP(IFERROR(VLOOKUP(SUBSTITUTE(E398,"DS ","")&amp;F398, wilayahfix!$A:$D, 2, 0), ""), user!$B:$D, 2, 0), "TIDAK KETEMU"))</f>
        <v/>
      </c>
      <c r="K398" s="39" t="str">
        <f>IF(E398="", "", IFERROR(VLOOKUP(IFERROR(VLOOKUP(SUBSTITUTE(E398,"DS ","")&amp;F398,#REF!, 2, 0), ""), user!$B:$D, 3, 0), ""))</f>
        <v/>
      </c>
    </row>
    <row r="399" spans="10:11" x14ac:dyDescent="0.25">
      <c r="J399" s="39"/>
      <c r="K399" s="39"/>
    </row>
    <row r="400" spans="10:11" x14ac:dyDescent="0.25">
      <c r="J400" s="39" t="str">
        <f>IF(E400="", "", IFERROR(VLOOKUP(IFERROR(VLOOKUP(SUBSTITUTE(E400,"DS ","")&amp;F400, wilayahfix!$A:$D, 2, 0), ""), user!$B:$D, 2, 0), "TIDAK KETEMU"))</f>
        <v/>
      </c>
      <c r="K400" s="39" t="str">
        <f>IF(E400="", "", IFERROR(VLOOKUP(IFERROR(VLOOKUP(SUBSTITUTE(E400,"DS ","")&amp;F400,#REF!, 2, 0), ""), user!$B:$D, 3, 0), ""))</f>
        <v/>
      </c>
    </row>
    <row r="401" spans="10:11" x14ac:dyDescent="0.25">
      <c r="J401" s="39"/>
      <c r="K401" s="39"/>
    </row>
    <row r="402" spans="10:11" x14ac:dyDescent="0.25">
      <c r="J402" s="39" t="str">
        <f>IF(E402="", "", IFERROR(VLOOKUP(IFERROR(VLOOKUP(SUBSTITUTE(E402,"DS ","")&amp;F402, wilayahfix!$A:$D, 2, 0), ""), user!$B:$D, 2, 0), "TIDAK KETEMU"))</f>
        <v/>
      </c>
      <c r="K402" s="39" t="str">
        <f>IF(E402="", "", IFERROR(VLOOKUP(IFERROR(VLOOKUP(SUBSTITUTE(E402,"DS ","")&amp;F402,#REF!, 2, 0), ""), user!$B:$D, 3, 0), ""))</f>
        <v/>
      </c>
    </row>
    <row r="403" spans="10:11" x14ac:dyDescent="0.25">
      <c r="J403" s="39"/>
      <c r="K403" s="39"/>
    </row>
    <row r="404" spans="10:11" x14ac:dyDescent="0.25">
      <c r="J404" s="39" t="str">
        <f>IF(E404="", "", IFERROR(VLOOKUP(IFERROR(VLOOKUP(SUBSTITUTE(E404,"DS ","")&amp;F404, wilayahfix!$A:$D, 2, 0), ""), user!$B:$D, 2, 0), "TIDAK KETEMU"))</f>
        <v/>
      </c>
      <c r="K404" s="39" t="str">
        <f>IF(E404="", "", IFERROR(VLOOKUP(IFERROR(VLOOKUP(SUBSTITUTE(E404,"DS ","")&amp;F404,#REF!, 2, 0), ""), user!$B:$D, 3, 0), ""))</f>
        <v/>
      </c>
    </row>
    <row r="405" spans="10:11" x14ac:dyDescent="0.25">
      <c r="J405" s="39"/>
      <c r="K405" s="39"/>
    </row>
    <row r="406" spans="10:11" x14ac:dyDescent="0.25">
      <c r="J406" s="39" t="str">
        <f>IF(E406="", "", IFERROR(VLOOKUP(IFERROR(VLOOKUP(SUBSTITUTE(E406,"DS ","")&amp;F406, wilayahfix!$A:$D, 2, 0), ""), user!$B:$D, 2, 0), "TIDAK KETEMU"))</f>
        <v/>
      </c>
      <c r="K406" s="39" t="str">
        <f>IF(E406="", "", IFERROR(VLOOKUP(IFERROR(VLOOKUP(SUBSTITUTE(E406,"DS ","")&amp;F406,#REF!, 2, 0), ""), user!$B:$D, 3, 0), ""))</f>
        <v/>
      </c>
    </row>
    <row r="407" spans="10:11" x14ac:dyDescent="0.25">
      <c r="J407" s="39"/>
      <c r="K407" s="39"/>
    </row>
    <row r="408" spans="10:11" x14ac:dyDescent="0.25">
      <c r="J408" s="39" t="str">
        <f>IF(E408="", "", IFERROR(VLOOKUP(IFERROR(VLOOKUP(SUBSTITUTE(E408,"DS ","")&amp;F408, wilayahfix!$A:$D, 2, 0), ""), user!$B:$D, 2, 0), "TIDAK KETEMU"))</f>
        <v/>
      </c>
      <c r="K408" s="39" t="str">
        <f>IF(E408="", "", IFERROR(VLOOKUP(IFERROR(VLOOKUP(SUBSTITUTE(E408,"DS ","")&amp;F408,#REF!, 2, 0), ""), user!$B:$D, 3, 0), ""))</f>
        <v/>
      </c>
    </row>
    <row r="409" spans="10:11" x14ac:dyDescent="0.25">
      <c r="J409" s="39"/>
      <c r="K409" s="39"/>
    </row>
    <row r="410" spans="10:11" x14ac:dyDescent="0.25">
      <c r="J410" s="39" t="str">
        <f>IF(E410="", "", IFERROR(VLOOKUP(IFERROR(VLOOKUP(SUBSTITUTE(E410,"DS ","")&amp;F410, wilayahfix!$A:$D, 2, 0), ""), user!$B:$D, 2, 0), "TIDAK KETEMU"))</f>
        <v/>
      </c>
      <c r="K410" s="39" t="str">
        <f>IF(E410="", "", IFERROR(VLOOKUP(IFERROR(VLOOKUP(SUBSTITUTE(E410,"DS ","")&amp;F410,#REF!, 2, 0), ""), user!$B:$D, 3, 0), ""))</f>
        <v/>
      </c>
    </row>
    <row r="411" spans="10:11" x14ac:dyDescent="0.25">
      <c r="J411" s="39"/>
      <c r="K411" s="39"/>
    </row>
    <row r="412" spans="10:11" x14ac:dyDescent="0.25">
      <c r="J412" s="39" t="str">
        <f>IF(E412="", "", IFERROR(VLOOKUP(IFERROR(VLOOKUP(SUBSTITUTE(E412,"DS ","")&amp;F412, wilayahfix!$A:$D, 2, 0), ""), user!$B:$D, 2, 0), "TIDAK KETEMU"))</f>
        <v/>
      </c>
      <c r="K412" s="39" t="str">
        <f>IF(E412="", "", IFERROR(VLOOKUP(IFERROR(VLOOKUP(SUBSTITUTE(E412,"DS ","")&amp;F412,#REF!, 2, 0), ""), user!$B:$D, 3, 0), ""))</f>
        <v/>
      </c>
    </row>
    <row r="413" spans="10:11" x14ac:dyDescent="0.25">
      <c r="J413" s="39"/>
      <c r="K413" s="39"/>
    </row>
    <row r="414" spans="10:11" x14ac:dyDescent="0.25">
      <c r="J414" s="39" t="str">
        <f>IF(E414="", "", IFERROR(VLOOKUP(IFERROR(VLOOKUP(SUBSTITUTE(E414,"DS ","")&amp;F414, wilayahfix!$A:$D, 2, 0), ""), user!$B:$D, 2, 0), "TIDAK KETEMU"))</f>
        <v/>
      </c>
      <c r="K414" s="39" t="str">
        <f>IF(E414="", "", IFERROR(VLOOKUP(IFERROR(VLOOKUP(SUBSTITUTE(E414,"DS ","")&amp;F414,#REF!, 2, 0), ""), user!$B:$D, 3, 0), ""))</f>
        <v/>
      </c>
    </row>
    <row r="415" spans="10:11" x14ac:dyDescent="0.25">
      <c r="J415" s="39"/>
      <c r="K415" s="39"/>
    </row>
    <row r="416" spans="10:11" x14ac:dyDescent="0.25">
      <c r="J416" s="39" t="str">
        <f>IF(E416="", "", IFERROR(VLOOKUP(IFERROR(VLOOKUP(SUBSTITUTE(E416,"DS ","")&amp;F416, wilayahfix!$A:$D, 2, 0), ""), user!$B:$D, 2, 0), "TIDAK KETEMU"))</f>
        <v/>
      </c>
      <c r="K416" s="39" t="str">
        <f>IF(E416="", "", IFERROR(VLOOKUP(IFERROR(VLOOKUP(SUBSTITUTE(E416,"DS ","")&amp;F416,#REF!, 2, 0), ""), user!$B:$D, 3, 0), ""))</f>
        <v/>
      </c>
    </row>
    <row r="417" spans="10:11" x14ac:dyDescent="0.25">
      <c r="J417" s="39"/>
      <c r="K417" s="39"/>
    </row>
    <row r="418" spans="10:11" x14ac:dyDescent="0.25">
      <c r="J418" s="39" t="str">
        <f>IF(E418="", "", IFERROR(VLOOKUP(IFERROR(VLOOKUP(SUBSTITUTE(E418,"DS ","")&amp;F418, wilayahfix!$A:$D, 2, 0), ""), user!$B:$D, 2, 0), "TIDAK KETEMU"))</f>
        <v/>
      </c>
      <c r="K418" s="39" t="str">
        <f>IF(E418="", "", IFERROR(VLOOKUP(IFERROR(VLOOKUP(SUBSTITUTE(E418,"DS ","")&amp;F418,#REF!, 2, 0), ""), user!$B:$D, 3, 0), ""))</f>
        <v/>
      </c>
    </row>
    <row r="419" spans="10:11" x14ac:dyDescent="0.25">
      <c r="J419" s="39"/>
      <c r="K419" s="39"/>
    </row>
    <row r="420" spans="10:11" x14ac:dyDescent="0.25">
      <c r="J420" s="39" t="str">
        <f>IF(E420="", "", IFERROR(VLOOKUP(IFERROR(VLOOKUP(SUBSTITUTE(E420,"DS ","")&amp;F420, wilayahfix!$A:$D, 2, 0), ""), user!$B:$D, 2, 0), "TIDAK KETEMU"))</f>
        <v/>
      </c>
      <c r="K420" s="39" t="str">
        <f>IF(E420="", "", IFERROR(VLOOKUP(IFERROR(VLOOKUP(SUBSTITUTE(E420,"DS ","")&amp;F420,#REF!, 2, 0), ""), user!$B:$D, 3, 0), ""))</f>
        <v/>
      </c>
    </row>
    <row r="421" spans="10:11" x14ac:dyDescent="0.25">
      <c r="J421" s="39"/>
      <c r="K421" s="39"/>
    </row>
    <row r="422" spans="10:11" x14ac:dyDescent="0.25">
      <c r="J422" s="39" t="str">
        <f>IF(E422="", "", IFERROR(VLOOKUP(IFERROR(VLOOKUP(SUBSTITUTE(E422,"DS ","")&amp;F422, wilayahfix!$A:$D, 2, 0), ""), user!$B:$D, 2, 0), "TIDAK KETEMU"))</f>
        <v/>
      </c>
      <c r="K422" s="39" t="str">
        <f>IF(E422="", "", IFERROR(VLOOKUP(IFERROR(VLOOKUP(SUBSTITUTE(E422,"DS ","")&amp;F422,#REF!, 2, 0), ""), user!$B:$D, 3, 0), ""))</f>
        <v/>
      </c>
    </row>
    <row r="423" spans="10:11" x14ac:dyDescent="0.25">
      <c r="J423" s="39"/>
      <c r="K423" s="39"/>
    </row>
    <row r="424" spans="10:11" x14ac:dyDescent="0.25">
      <c r="J424" s="39" t="str">
        <f>IF(E424="", "", IFERROR(VLOOKUP(IFERROR(VLOOKUP(SUBSTITUTE(E424,"DS ","")&amp;F424, wilayahfix!$A:$D, 2, 0), ""), user!$B:$D, 2, 0), "TIDAK KETEMU"))</f>
        <v/>
      </c>
      <c r="K424" s="39" t="str">
        <f>IF(E424="", "", IFERROR(VLOOKUP(IFERROR(VLOOKUP(SUBSTITUTE(E424,"DS ","")&amp;F424,#REF!, 2, 0), ""), user!$B:$D, 3, 0), ""))</f>
        <v/>
      </c>
    </row>
    <row r="425" spans="10:11" x14ac:dyDescent="0.25">
      <c r="J425" s="39"/>
      <c r="K425" s="39"/>
    </row>
    <row r="426" spans="10:11" x14ac:dyDescent="0.25">
      <c r="J426" s="39" t="str">
        <f>IF(E426="", "", IFERROR(VLOOKUP(IFERROR(VLOOKUP(SUBSTITUTE(E426,"DS ","")&amp;F426, wilayahfix!$A:$D, 2, 0), ""), user!$B:$D, 2, 0), "TIDAK KETEMU"))</f>
        <v/>
      </c>
      <c r="K426" s="39" t="str">
        <f>IF(E426="", "", IFERROR(VLOOKUP(IFERROR(VLOOKUP(SUBSTITUTE(E426,"DS ","")&amp;F426,#REF!, 2, 0), ""), user!$B:$D, 3, 0), ""))</f>
        <v/>
      </c>
    </row>
    <row r="427" spans="10:11" x14ac:dyDescent="0.25">
      <c r="J427" s="39"/>
      <c r="K427" s="39"/>
    </row>
    <row r="428" spans="10:11" x14ac:dyDescent="0.25">
      <c r="J428" s="39" t="str">
        <f>IF(E428="", "", IFERROR(VLOOKUP(IFERROR(VLOOKUP(SUBSTITUTE(E428,"DS ","")&amp;F428, wilayahfix!$A:$D, 2, 0), ""), user!$B:$D, 2, 0), "TIDAK KETEMU"))</f>
        <v/>
      </c>
      <c r="K428" s="39" t="str">
        <f>IF(E428="", "", IFERROR(VLOOKUP(IFERROR(VLOOKUP(SUBSTITUTE(E428,"DS ","")&amp;F428,#REF!, 2, 0), ""), user!$B:$D, 3, 0), ""))</f>
        <v/>
      </c>
    </row>
    <row r="429" spans="10:11" x14ac:dyDescent="0.25">
      <c r="J429" s="39"/>
      <c r="K429" s="39"/>
    </row>
    <row r="430" spans="10:11" x14ac:dyDescent="0.25">
      <c r="J430" s="39" t="str">
        <f>IF(E430="", "", IFERROR(VLOOKUP(IFERROR(VLOOKUP(SUBSTITUTE(E430,"DS ","")&amp;F430, wilayahfix!$A:$D, 2, 0), ""), user!$B:$D, 2, 0), "TIDAK KETEMU"))</f>
        <v/>
      </c>
      <c r="K430" s="39" t="str">
        <f>IF(E430="", "", IFERROR(VLOOKUP(IFERROR(VLOOKUP(SUBSTITUTE(E430,"DS ","")&amp;F430,#REF!, 2, 0), ""), user!$B:$D, 3, 0), ""))</f>
        <v/>
      </c>
    </row>
    <row r="431" spans="10:11" x14ac:dyDescent="0.25">
      <c r="J431" s="39"/>
      <c r="K431" s="39"/>
    </row>
    <row r="432" spans="10:11" x14ac:dyDescent="0.25">
      <c r="J432" s="39" t="str">
        <f>IF(E432="", "", IFERROR(VLOOKUP(IFERROR(VLOOKUP(SUBSTITUTE(E432,"DS ","")&amp;F432, wilayahfix!$A:$D, 2, 0), ""), user!$B:$D, 2, 0), "TIDAK KETEMU"))</f>
        <v/>
      </c>
      <c r="K432" s="39" t="str">
        <f>IF(E432="", "", IFERROR(VLOOKUP(IFERROR(VLOOKUP(SUBSTITUTE(E432,"DS ","")&amp;F432,#REF!, 2, 0), ""), user!$B:$D, 3, 0), ""))</f>
        <v/>
      </c>
    </row>
    <row r="433" spans="10:11" x14ac:dyDescent="0.25">
      <c r="J433" s="39"/>
      <c r="K433" s="39"/>
    </row>
    <row r="434" spans="10:11" x14ac:dyDescent="0.25">
      <c r="J434" s="39" t="str">
        <f>IF(E434="", "", IFERROR(VLOOKUP(IFERROR(VLOOKUP(SUBSTITUTE(E434,"DS ","")&amp;F434, wilayahfix!$A:$D, 2, 0), ""), user!$B:$D, 2, 0), "TIDAK KETEMU"))</f>
        <v/>
      </c>
      <c r="K434" s="39" t="str">
        <f>IF(E434="", "", IFERROR(VLOOKUP(IFERROR(VLOOKUP(SUBSTITUTE(E434,"DS ","")&amp;F434,#REF!, 2, 0), ""), user!$B:$D, 3, 0), ""))</f>
        <v/>
      </c>
    </row>
    <row r="435" spans="10:11" x14ac:dyDescent="0.25">
      <c r="J435" s="39"/>
      <c r="K435" s="39"/>
    </row>
    <row r="436" spans="10:11" x14ac:dyDescent="0.25">
      <c r="J436" s="39" t="str">
        <f>IF(E436="", "", IFERROR(VLOOKUP(IFERROR(VLOOKUP(SUBSTITUTE(E436,"DS ","")&amp;F436, wilayahfix!$A:$D, 2, 0), ""), user!$B:$D, 2, 0), "TIDAK KETEMU"))</f>
        <v/>
      </c>
      <c r="K436" s="39" t="str">
        <f>IF(E436="", "", IFERROR(VLOOKUP(IFERROR(VLOOKUP(SUBSTITUTE(E436,"DS ","")&amp;F436,#REF!, 2, 0), ""), user!$B:$D, 3, 0), ""))</f>
        <v/>
      </c>
    </row>
    <row r="437" spans="10:11" x14ac:dyDescent="0.25">
      <c r="J437" s="39"/>
      <c r="K437" s="39"/>
    </row>
    <row r="438" spans="10:11" x14ac:dyDescent="0.25">
      <c r="J438" s="39" t="str">
        <f>IF(E438="", "", IFERROR(VLOOKUP(IFERROR(VLOOKUP(SUBSTITUTE(E438,"DS ","")&amp;F438, wilayahfix!$A:$D, 2, 0), ""), user!$B:$D, 2, 0), "TIDAK KETEMU"))</f>
        <v/>
      </c>
      <c r="K438" s="39" t="str">
        <f>IF(E438="", "", IFERROR(VLOOKUP(IFERROR(VLOOKUP(SUBSTITUTE(E438,"DS ","")&amp;F438,#REF!, 2, 0), ""), user!$B:$D, 3, 0), ""))</f>
        <v/>
      </c>
    </row>
    <row r="439" spans="10:11" x14ac:dyDescent="0.25">
      <c r="J439" s="39"/>
      <c r="K439" s="39"/>
    </row>
    <row r="440" spans="10:11" x14ac:dyDescent="0.25">
      <c r="J440" s="39" t="str">
        <f>IF(E440="", "", IFERROR(VLOOKUP(IFERROR(VLOOKUP(SUBSTITUTE(E440,"DS ","")&amp;F440, wilayahfix!$A:$D, 2, 0), ""), user!$B:$D, 2, 0), "TIDAK KETEMU"))</f>
        <v/>
      </c>
      <c r="K440" s="39" t="str">
        <f>IF(E440="", "", IFERROR(VLOOKUP(IFERROR(VLOOKUP(SUBSTITUTE(E440,"DS ","")&amp;F440,#REF!, 2, 0), ""), user!$B:$D, 3, 0), ""))</f>
        <v/>
      </c>
    </row>
    <row r="441" spans="10:11" x14ac:dyDescent="0.25">
      <c r="J441" s="39"/>
      <c r="K441" s="39"/>
    </row>
    <row r="442" spans="10:11" x14ac:dyDescent="0.25">
      <c r="J442" s="39" t="str">
        <f>IF(E442="", "", IFERROR(VLOOKUP(IFERROR(VLOOKUP(SUBSTITUTE(E442,"DS ","")&amp;F442, wilayahfix!$A:$D, 2, 0), ""), user!$B:$D, 2, 0), "TIDAK KETEMU"))</f>
        <v/>
      </c>
      <c r="K442" s="39" t="str">
        <f>IF(E442="", "", IFERROR(VLOOKUP(IFERROR(VLOOKUP(SUBSTITUTE(E442,"DS ","")&amp;F442,#REF!, 2, 0), ""), user!$B:$D, 3, 0), ""))</f>
        <v/>
      </c>
    </row>
    <row r="443" spans="10:11" x14ac:dyDescent="0.25">
      <c r="J443" s="39"/>
      <c r="K443" s="39"/>
    </row>
    <row r="444" spans="10:11" x14ac:dyDescent="0.25">
      <c r="J444" s="39" t="str">
        <f>IF(E444="", "", IFERROR(VLOOKUP(IFERROR(VLOOKUP(SUBSTITUTE(E444,"DS ","")&amp;F444, wilayahfix!$A:$D, 2, 0), ""), user!$B:$D, 2, 0), "TIDAK KETEMU"))</f>
        <v/>
      </c>
      <c r="K444" s="39" t="str">
        <f>IF(E444="", "", IFERROR(VLOOKUP(IFERROR(VLOOKUP(SUBSTITUTE(E444,"DS ","")&amp;F444,#REF!, 2, 0), ""), user!$B:$D, 3, 0), ""))</f>
        <v/>
      </c>
    </row>
    <row r="445" spans="10:11" x14ac:dyDescent="0.25">
      <c r="J445" s="39"/>
      <c r="K445" s="39"/>
    </row>
    <row r="446" spans="10:11" x14ac:dyDescent="0.25">
      <c r="J446" s="39" t="str">
        <f>IF(E446="", "", IFERROR(VLOOKUP(IFERROR(VLOOKUP(SUBSTITUTE(E446,"DS ","")&amp;F446, wilayahfix!$A:$D, 2, 0), ""), user!$B:$D, 2, 0), "TIDAK KETEMU"))</f>
        <v/>
      </c>
      <c r="K446" s="39" t="str">
        <f>IF(E446="", "", IFERROR(VLOOKUP(IFERROR(VLOOKUP(SUBSTITUTE(E446,"DS ","")&amp;F446,#REF!, 2, 0), ""), user!$B:$D, 3, 0), ""))</f>
        <v/>
      </c>
    </row>
    <row r="447" spans="10:11" x14ac:dyDescent="0.25">
      <c r="J447" s="39"/>
      <c r="K447" s="39"/>
    </row>
    <row r="448" spans="10:11" x14ac:dyDescent="0.25">
      <c r="J448" s="39" t="str">
        <f>IF(E448="", "", IFERROR(VLOOKUP(IFERROR(VLOOKUP(SUBSTITUTE(E448,"DS ","")&amp;F448, wilayahfix!$A:$D, 2, 0), ""), user!$B:$D, 2, 0), "TIDAK KETEMU"))</f>
        <v/>
      </c>
      <c r="K448" s="39" t="str">
        <f>IF(E448="", "", IFERROR(VLOOKUP(IFERROR(VLOOKUP(SUBSTITUTE(E448,"DS ","")&amp;F448,#REF!, 2, 0), ""), user!$B:$D, 3, 0), ""))</f>
        <v/>
      </c>
    </row>
    <row r="449" spans="10:11" x14ac:dyDescent="0.25">
      <c r="J449" s="39"/>
      <c r="K449" s="39"/>
    </row>
    <row r="450" spans="10:11" x14ac:dyDescent="0.25">
      <c r="J450" s="39" t="str">
        <f>IF(E450="", "", IFERROR(VLOOKUP(IFERROR(VLOOKUP(SUBSTITUTE(E450,"DS ","")&amp;F450, wilayahfix!$A:$D, 2, 0), ""), user!$B:$D, 2, 0), "TIDAK KETEMU"))</f>
        <v/>
      </c>
      <c r="K450" s="39" t="str">
        <f>IF(E450="", "", IFERROR(VLOOKUP(IFERROR(VLOOKUP(SUBSTITUTE(E450,"DS ","")&amp;F450,#REF!, 2, 0), ""), user!$B:$D, 3, 0), ""))</f>
        <v/>
      </c>
    </row>
    <row r="451" spans="10:11" x14ac:dyDescent="0.25">
      <c r="J451" s="39"/>
      <c r="K451" s="39"/>
    </row>
    <row r="452" spans="10:11" x14ac:dyDescent="0.25">
      <c r="J452" s="39" t="str">
        <f>IF(E452="", "", IFERROR(VLOOKUP(IFERROR(VLOOKUP(SUBSTITUTE(E452,"DS ","")&amp;F452, wilayahfix!$A:$D, 2, 0), ""), user!$B:$D, 2, 0), "TIDAK KETEMU"))</f>
        <v/>
      </c>
      <c r="K452" s="39" t="str">
        <f>IF(E452="", "", IFERROR(VLOOKUP(IFERROR(VLOOKUP(SUBSTITUTE(E452,"DS ","")&amp;F452,#REF!, 2, 0), ""), user!$B:$D, 3, 0), ""))</f>
        <v/>
      </c>
    </row>
    <row r="453" spans="10:11" x14ac:dyDescent="0.25">
      <c r="J453" s="39"/>
      <c r="K453" s="39"/>
    </row>
    <row r="454" spans="10:11" x14ac:dyDescent="0.25">
      <c r="J454" s="39" t="str">
        <f>IF(E454="", "", IFERROR(VLOOKUP(IFERROR(VLOOKUP(SUBSTITUTE(E454,"DS ","")&amp;F454, wilayahfix!$A:$D, 2, 0), ""), user!$B:$D, 2, 0), "TIDAK KETEMU"))</f>
        <v/>
      </c>
      <c r="K454" s="39" t="str">
        <f>IF(E454="", "", IFERROR(VLOOKUP(IFERROR(VLOOKUP(SUBSTITUTE(E454,"DS ","")&amp;F454,#REF!, 2, 0), ""), user!$B:$D, 3, 0), ""))</f>
        <v/>
      </c>
    </row>
    <row r="455" spans="10:11" x14ac:dyDescent="0.25">
      <c r="J455" s="39"/>
      <c r="K455" s="39"/>
    </row>
    <row r="456" spans="10:11" x14ac:dyDescent="0.25">
      <c r="J456" s="39" t="str">
        <f>IF(E456="", "", IFERROR(VLOOKUP(IFERROR(VLOOKUP(SUBSTITUTE(E456,"DS ","")&amp;F456, wilayahfix!$A:$D, 2, 0), ""), user!$B:$D, 2, 0), "TIDAK KETEMU"))</f>
        <v/>
      </c>
      <c r="K456" s="39" t="str">
        <f>IF(E456="", "", IFERROR(VLOOKUP(IFERROR(VLOOKUP(SUBSTITUTE(E456,"DS ","")&amp;F456,#REF!, 2, 0), ""), user!$B:$D, 3, 0), ""))</f>
        <v/>
      </c>
    </row>
    <row r="457" spans="10:11" x14ac:dyDescent="0.25">
      <c r="J457" s="39"/>
      <c r="K457" s="39"/>
    </row>
    <row r="458" spans="10:11" x14ac:dyDescent="0.25">
      <c r="J458" s="39" t="str">
        <f>IF(E458="", "", IFERROR(VLOOKUP(IFERROR(VLOOKUP(SUBSTITUTE(E458,"DS ","")&amp;F458, wilayahfix!$A:$D, 2, 0), ""), user!$B:$D, 2, 0), "TIDAK KETEMU"))</f>
        <v/>
      </c>
      <c r="K458" s="39" t="str">
        <f>IF(E458="", "", IFERROR(VLOOKUP(IFERROR(VLOOKUP(SUBSTITUTE(E458,"DS ","")&amp;F458,#REF!, 2, 0), ""), user!$B:$D, 3, 0), ""))</f>
        <v/>
      </c>
    </row>
    <row r="459" spans="10:11" x14ac:dyDescent="0.25">
      <c r="J459" s="39"/>
      <c r="K459" s="39"/>
    </row>
    <row r="460" spans="10:11" x14ac:dyDescent="0.25">
      <c r="J460" s="39" t="str">
        <f>IF(E460="", "", IFERROR(VLOOKUP(IFERROR(VLOOKUP(SUBSTITUTE(E460,"DS ","")&amp;F460, wilayahfix!$A:$D, 2, 0), ""), user!$B:$D, 2, 0), "TIDAK KETEMU"))</f>
        <v/>
      </c>
      <c r="K460" s="39" t="str">
        <f>IF(E460="", "", IFERROR(VLOOKUP(IFERROR(VLOOKUP(SUBSTITUTE(E460,"DS ","")&amp;F460,#REF!, 2, 0), ""), user!$B:$D, 3, 0), ""))</f>
        <v/>
      </c>
    </row>
    <row r="461" spans="10:11" x14ac:dyDescent="0.25">
      <c r="J461" s="39"/>
      <c r="K461" s="39"/>
    </row>
    <row r="462" spans="10:11" x14ac:dyDescent="0.25">
      <c r="J462" s="39" t="str">
        <f>IF(E462="", "", IFERROR(VLOOKUP(IFERROR(VLOOKUP(SUBSTITUTE(E462,"DS ","")&amp;F462, wilayahfix!$A:$D, 2, 0), ""), user!$B:$D, 2, 0), "TIDAK KETEMU"))</f>
        <v/>
      </c>
      <c r="K462" s="39" t="str">
        <f>IF(E462="", "", IFERROR(VLOOKUP(IFERROR(VLOOKUP(SUBSTITUTE(E462,"DS ","")&amp;F462,#REF!, 2, 0), ""), user!$B:$D, 3, 0), ""))</f>
        <v/>
      </c>
    </row>
    <row r="463" spans="10:11" x14ac:dyDescent="0.25">
      <c r="J463" s="39"/>
      <c r="K463" s="39"/>
    </row>
    <row r="464" spans="10:11" x14ac:dyDescent="0.25">
      <c r="J464" s="39" t="str">
        <f>IF(E464="", "", IFERROR(VLOOKUP(IFERROR(VLOOKUP(SUBSTITUTE(E464,"DS ","")&amp;F464, wilayahfix!$A:$D, 2, 0), ""), user!$B:$D, 2, 0), "TIDAK KETEMU"))</f>
        <v/>
      </c>
      <c r="K464" s="39" t="str">
        <f>IF(E464="", "", IFERROR(VLOOKUP(IFERROR(VLOOKUP(SUBSTITUTE(E464,"DS ","")&amp;F464,#REF!, 2, 0), ""), user!$B:$D, 3, 0), ""))</f>
        <v/>
      </c>
    </row>
    <row r="465" spans="10:11" x14ac:dyDescent="0.25">
      <c r="J465" s="39"/>
      <c r="K465" s="39"/>
    </row>
    <row r="466" spans="10:11" x14ac:dyDescent="0.25">
      <c r="J466" s="39" t="str">
        <f>IF(E466="", "", IFERROR(VLOOKUP(IFERROR(VLOOKUP(SUBSTITUTE(E466,"DS ","")&amp;F466, wilayahfix!$A:$D, 2, 0), ""), user!$B:$D, 2, 0), "TIDAK KETEMU"))</f>
        <v/>
      </c>
      <c r="K466" s="39" t="str">
        <f>IF(E466="", "", IFERROR(VLOOKUP(IFERROR(VLOOKUP(SUBSTITUTE(E466,"DS ","")&amp;F466,#REF!, 2, 0), ""), user!$B:$D, 3, 0), ""))</f>
        <v/>
      </c>
    </row>
    <row r="467" spans="10:11" x14ac:dyDescent="0.25">
      <c r="J467" s="39"/>
      <c r="K467" s="39"/>
    </row>
    <row r="468" spans="10:11" x14ac:dyDescent="0.25">
      <c r="J468" s="39" t="str">
        <f>IF(E468="", "", IFERROR(VLOOKUP(IFERROR(VLOOKUP(SUBSTITUTE(E468,"DS ","")&amp;F468, wilayahfix!$A:$D, 2, 0), ""), user!$B:$D, 2, 0), "TIDAK KETEMU"))</f>
        <v/>
      </c>
      <c r="K468" s="39" t="str">
        <f>IF(E468="", "", IFERROR(VLOOKUP(IFERROR(VLOOKUP(SUBSTITUTE(E468,"DS ","")&amp;F468,#REF!, 2, 0), ""), user!$B:$D, 3, 0), ""))</f>
        <v/>
      </c>
    </row>
    <row r="469" spans="10:11" x14ac:dyDescent="0.25">
      <c r="J469" s="39"/>
      <c r="K469" s="39"/>
    </row>
    <row r="470" spans="10:11" x14ac:dyDescent="0.25">
      <c r="J470" s="39" t="str">
        <f>IF(E470="", "", IFERROR(VLOOKUP(IFERROR(VLOOKUP(SUBSTITUTE(E470,"DS ","")&amp;F470, wilayahfix!$A:$D, 2, 0), ""), user!$B:$D, 2, 0), "TIDAK KETEMU"))</f>
        <v/>
      </c>
      <c r="K470" s="39" t="str">
        <f>IF(E470="", "", IFERROR(VLOOKUP(IFERROR(VLOOKUP(SUBSTITUTE(E470,"DS ","")&amp;F470,#REF!, 2, 0), ""), user!$B:$D, 3, 0), ""))</f>
        <v/>
      </c>
    </row>
    <row r="471" spans="10:11" x14ac:dyDescent="0.25">
      <c r="J471" s="39"/>
      <c r="K471" s="39"/>
    </row>
    <row r="472" spans="10:11" x14ac:dyDescent="0.25">
      <c r="J472" s="39" t="str">
        <f>IF(E472="", "", IFERROR(VLOOKUP(IFERROR(VLOOKUP(SUBSTITUTE(E472,"DS ","")&amp;F472, wilayahfix!$A:$D, 2, 0), ""), user!$B:$D, 2, 0), "TIDAK KETEMU"))</f>
        <v/>
      </c>
      <c r="K472" s="39" t="str">
        <f>IF(E472="", "", IFERROR(VLOOKUP(IFERROR(VLOOKUP(SUBSTITUTE(E472,"DS ","")&amp;F472,#REF!, 2, 0), ""), user!$B:$D, 3, 0), ""))</f>
        <v/>
      </c>
    </row>
    <row r="473" spans="10:11" x14ac:dyDescent="0.25">
      <c r="J473" s="39"/>
      <c r="K473" s="39"/>
    </row>
    <row r="474" spans="10:11" x14ac:dyDescent="0.25">
      <c r="J474" s="39" t="str">
        <f>IF(E474="", "", IFERROR(VLOOKUP(IFERROR(VLOOKUP(SUBSTITUTE(E474,"DS ","")&amp;F474, wilayahfix!$A:$D, 2, 0), ""), user!$B:$D, 2, 0), "TIDAK KETEMU"))</f>
        <v/>
      </c>
      <c r="K474" s="39" t="str">
        <f>IF(E474="", "", IFERROR(VLOOKUP(IFERROR(VLOOKUP(SUBSTITUTE(E474,"DS ","")&amp;F474,#REF!, 2, 0), ""), user!$B:$D, 3, 0), ""))</f>
        <v/>
      </c>
    </row>
    <row r="475" spans="10:11" x14ac:dyDescent="0.25">
      <c r="J475" s="39"/>
      <c r="K475" s="39"/>
    </row>
    <row r="476" spans="10:11" x14ac:dyDescent="0.25">
      <c r="J476" s="39" t="str">
        <f>IF(E476="", "", IFERROR(VLOOKUP(IFERROR(VLOOKUP(SUBSTITUTE(E476,"DS ","")&amp;F476, wilayahfix!$A:$D, 2, 0), ""), user!$B:$D, 2, 0), "TIDAK KETEMU"))</f>
        <v/>
      </c>
      <c r="K476" s="39" t="str">
        <f>IF(E476="", "", IFERROR(VLOOKUP(IFERROR(VLOOKUP(SUBSTITUTE(E476,"DS ","")&amp;F476,#REF!, 2, 0), ""), user!$B:$D, 3, 0), ""))</f>
        <v/>
      </c>
    </row>
    <row r="477" spans="10:11" x14ac:dyDescent="0.25">
      <c r="J477" s="39"/>
      <c r="K477" s="39"/>
    </row>
    <row r="478" spans="10:11" x14ac:dyDescent="0.25">
      <c r="J478" s="39" t="str">
        <f>IF(E478="", "", IFERROR(VLOOKUP(IFERROR(VLOOKUP(SUBSTITUTE(E478,"DS ","")&amp;F478, wilayahfix!$A:$D, 2, 0), ""), user!$B:$D, 2, 0), "TIDAK KETEMU"))</f>
        <v/>
      </c>
      <c r="K478" s="39" t="str">
        <f>IF(E478="", "", IFERROR(VLOOKUP(IFERROR(VLOOKUP(SUBSTITUTE(E478,"DS ","")&amp;F478,#REF!, 2, 0), ""), user!$B:$D, 3, 0), ""))</f>
        <v/>
      </c>
    </row>
    <row r="479" spans="10:11" x14ac:dyDescent="0.25">
      <c r="J479" s="39"/>
      <c r="K479" s="39"/>
    </row>
    <row r="480" spans="10:11" x14ac:dyDescent="0.25">
      <c r="J480" s="39" t="str">
        <f>IF(E480="", "", IFERROR(VLOOKUP(IFERROR(VLOOKUP(SUBSTITUTE(E480,"DS ","")&amp;F480, wilayahfix!$A:$D, 2, 0), ""), user!$B:$D, 2, 0), "TIDAK KETEMU"))</f>
        <v/>
      </c>
      <c r="K480" s="39" t="str">
        <f>IF(E480="", "", IFERROR(VLOOKUP(IFERROR(VLOOKUP(SUBSTITUTE(E480,"DS ","")&amp;F480,#REF!, 2, 0), ""), user!$B:$D, 3, 0), ""))</f>
        <v/>
      </c>
    </row>
    <row r="481" spans="10:11" x14ac:dyDescent="0.25">
      <c r="J481" s="39"/>
      <c r="K481" s="39"/>
    </row>
    <row r="482" spans="10:11" x14ac:dyDescent="0.25">
      <c r="J482" s="39" t="str">
        <f>IF(E482="", "", IFERROR(VLOOKUP(IFERROR(VLOOKUP(SUBSTITUTE(E482,"DS ","")&amp;F482, wilayahfix!$A:$D, 2, 0), ""), user!$B:$D, 2, 0), "TIDAK KETEMU"))</f>
        <v/>
      </c>
      <c r="K482" s="39" t="str">
        <f>IF(E482="", "", IFERROR(VLOOKUP(IFERROR(VLOOKUP(SUBSTITUTE(E482,"DS ","")&amp;F482,#REF!, 2, 0), ""), user!$B:$D, 3, 0), ""))</f>
        <v/>
      </c>
    </row>
    <row r="483" spans="10:11" x14ac:dyDescent="0.25">
      <c r="J483" s="39"/>
      <c r="K483" s="39"/>
    </row>
    <row r="484" spans="10:11" x14ac:dyDescent="0.25">
      <c r="J484" s="39" t="str">
        <f>IF(E484="", "", IFERROR(VLOOKUP(IFERROR(VLOOKUP(SUBSTITUTE(E484,"DS ","")&amp;F484, wilayahfix!$A:$D, 2, 0), ""), user!$B:$D, 2, 0), "TIDAK KETEMU"))</f>
        <v/>
      </c>
      <c r="K484" s="39" t="str">
        <f>IF(E484="", "", IFERROR(VLOOKUP(IFERROR(VLOOKUP(SUBSTITUTE(E484,"DS ","")&amp;F484,#REF!, 2, 0), ""), user!$B:$D, 3, 0), ""))</f>
        <v/>
      </c>
    </row>
    <row r="485" spans="10:11" x14ac:dyDescent="0.25">
      <c r="J485" s="39"/>
      <c r="K485" s="39"/>
    </row>
    <row r="486" spans="10:11" x14ac:dyDescent="0.25">
      <c r="J486" s="39" t="str">
        <f>IF(E486="", "", IFERROR(VLOOKUP(IFERROR(VLOOKUP(SUBSTITUTE(E486,"DS ","")&amp;F486, wilayahfix!$A:$D, 2, 0), ""), user!$B:$D, 2, 0), "TIDAK KETEMU"))</f>
        <v/>
      </c>
      <c r="K486" s="39" t="str">
        <f>IF(E486="", "", IFERROR(VLOOKUP(IFERROR(VLOOKUP(SUBSTITUTE(E486,"DS ","")&amp;F486,#REF!, 2, 0), ""), user!$B:$D, 3, 0), ""))</f>
        <v/>
      </c>
    </row>
    <row r="487" spans="10:11" x14ac:dyDescent="0.25">
      <c r="J487" s="39"/>
      <c r="K487" s="39"/>
    </row>
    <row r="488" spans="10:11" x14ac:dyDescent="0.25">
      <c r="J488" s="39" t="str">
        <f>IF(E488="", "", IFERROR(VLOOKUP(IFERROR(VLOOKUP(SUBSTITUTE(E488,"DS ","")&amp;F488, wilayahfix!$A:$D, 2, 0), ""), user!$B:$D, 2, 0), "TIDAK KETEMU"))</f>
        <v/>
      </c>
      <c r="K488" s="39" t="str">
        <f>IF(E488="", "", IFERROR(VLOOKUP(IFERROR(VLOOKUP(SUBSTITUTE(E488,"DS ","")&amp;F488,#REF!, 2, 0), ""), user!$B:$D, 3, 0), ""))</f>
        <v/>
      </c>
    </row>
    <row r="489" spans="10:11" x14ac:dyDescent="0.25">
      <c r="J489" s="39"/>
      <c r="K489" s="39"/>
    </row>
    <row r="490" spans="10:11" x14ac:dyDescent="0.25">
      <c r="J490" s="39" t="str">
        <f>IF(E490="", "", IFERROR(VLOOKUP(IFERROR(VLOOKUP(SUBSTITUTE(E490,"DS ","")&amp;F490, wilayahfix!$A:$D, 2, 0), ""), user!$B:$D, 2, 0), "TIDAK KETEMU"))</f>
        <v/>
      </c>
      <c r="K490" s="39" t="str">
        <f>IF(E490="", "", IFERROR(VLOOKUP(IFERROR(VLOOKUP(SUBSTITUTE(E490,"DS ","")&amp;F490,#REF!, 2, 0), ""), user!$B:$D, 3, 0), ""))</f>
        <v/>
      </c>
    </row>
    <row r="491" spans="10:11" x14ac:dyDescent="0.25">
      <c r="J491" s="39"/>
      <c r="K491" s="39"/>
    </row>
    <row r="492" spans="10:11" x14ac:dyDescent="0.25">
      <c r="J492" s="39" t="str">
        <f>IF(E492="", "", IFERROR(VLOOKUP(IFERROR(VLOOKUP(SUBSTITUTE(E492,"DS ","")&amp;F492, wilayahfix!$A:$D, 2, 0), ""), user!$B:$D, 2, 0), "TIDAK KETEMU"))</f>
        <v/>
      </c>
      <c r="K492" s="39" t="str">
        <f>IF(E492="", "", IFERROR(VLOOKUP(IFERROR(VLOOKUP(SUBSTITUTE(E492,"DS ","")&amp;F492,#REF!, 2, 0), ""), user!$B:$D, 3, 0), ""))</f>
        <v/>
      </c>
    </row>
    <row r="493" spans="10:11" x14ac:dyDescent="0.25">
      <c r="J493" s="39"/>
      <c r="K493" s="39"/>
    </row>
    <row r="494" spans="10:11" x14ac:dyDescent="0.25">
      <c r="J494" s="39" t="str">
        <f>IF(E494="", "", IFERROR(VLOOKUP(IFERROR(VLOOKUP(SUBSTITUTE(E494,"DS ","")&amp;F494, wilayahfix!$A:$D, 2, 0), ""), user!$B:$D, 2, 0), "TIDAK KETEMU"))</f>
        <v/>
      </c>
      <c r="K494" s="39" t="str">
        <f>IF(E494="", "", IFERROR(VLOOKUP(IFERROR(VLOOKUP(SUBSTITUTE(E494,"DS ","")&amp;F494,#REF!, 2, 0), ""), user!$B:$D, 3, 0), ""))</f>
        <v/>
      </c>
    </row>
    <row r="495" spans="10:11" x14ac:dyDescent="0.25">
      <c r="J495" s="39"/>
      <c r="K495" s="39"/>
    </row>
    <row r="496" spans="10:11" x14ac:dyDescent="0.25">
      <c r="J496" s="39" t="str">
        <f>IF(E496="", "", IFERROR(VLOOKUP(IFERROR(VLOOKUP(SUBSTITUTE(E496,"DS ","")&amp;F496, wilayahfix!$A:$D, 2, 0), ""), user!$B:$D, 2, 0), "TIDAK KETEMU"))</f>
        <v/>
      </c>
      <c r="K496" s="39" t="str">
        <f>IF(E496="", "", IFERROR(VLOOKUP(IFERROR(VLOOKUP(SUBSTITUTE(E496,"DS ","")&amp;F496,#REF!, 2, 0), ""), user!$B:$D, 3, 0), ""))</f>
        <v/>
      </c>
    </row>
    <row r="497" spans="10:11" x14ac:dyDescent="0.25">
      <c r="J497" s="39"/>
      <c r="K497" s="39"/>
    </row>
    <row r="498" spans="10:11" x14ac:dyDescent="0.25">
      <c r="J498" s="39" t="str">
        <f>IF(E498="", "", IFERROR(VLOOKUP(IFERROR(VLOOKUP(SUBSTITUTE(E498,"DS ","")&amp;F498, wilayahfix!$A:$D, 2, 0), ""), user!$B:$D, 2, 0), "TIDAK KETEMU"))</f>
        <v/>
      </c>
      <c r="K498" s="39" t="str">
        <f>IF(E498="", "", IFERROR(VLOOKUP(IFERROR(VLOOKUP(SUBSTITUTE(E498,"DS ","")&amp;F498,#REF!, 2, 0), ""), user!$B:$D, 3, 0), ""))</f>
        <v/>
      </c>
    </row>
    <row r="499" spans="10:11" x14ac:dyDescent="0.25">
      <c r="J499" s="39"/>
      <c r="K499" s="39"/>
    </row>
    <row r="500" spans="10:11" x14ac:dyDescent="0.25">
      <c r="J500" s="39" t="str">
        <f>IF(E500="", "", IFERROR(VLOOKUP(IFERROR(VLOOKUP(SUBSTITUTE(E500,"DS ","")&amp;F500, wilayahfix!$A:$D, 2, 0), ""), user!$B:$D, 2, 0), "TIDAK KETEMU"))</f>
        <v/>
      </c>
      <c r="K500" s="39" t="str">
        <f>IF(E500="", "", IFERROR(VLOOKUP(IFERROR(VLOOKUP(SUBSTITUTE(E500,"DS ","")&amp;F500,#REF!, 2, 0), ""), user!$B:$D, 3, 0), ""))</f>
        <v/>
      </c>
    </row>
    <row r="501" spans="10:11" x14ac:dyDescent="0.25">
      <c r="J501" s="39"/>
      <c r="K501" s="39"/>
    </row>
    <row r="502" spans="10:11" x14ac:dyDescent="0.25">
      <c r="J502" s="39" t="str">
        <f>IF(E502="", "", IFERROR(VLOOKUP(IFERROR(VLOOKUP(SUBSTITUTE(E502,"DS ","")&amp;F502, wilayahfix!$A:$D, 2, 0), ""), user!$B:$D, 2, 0), "TIDAK KETEMU"))</f>
        <v/>
      </c>
      <c r="K502" s="39" t="str">
        <f>IF(E502="", "", IFERROR(VLOOKUP(IFERROR(VLOOKUP(SUBSTITUTE(E502,"DS ","")&amp;F502,#REF!, 2, 0), ""), user!$B:$D, 3, 0), ""))</f>
        <v/>
      </c>
    </row>
    <row r="503" spans="10:11" x14ac:dyDescent="0.25">
      <c r="J503" s="39"/>
      <c r="K503" s="39"/>
    </row>
    <row r="504" spans="10:11" x14ac:dyDescent="0.25">
      <c r="K504" s="39" t="str">
        <f>IF(E504="", "", IFERROR(VLOOKUP(IFERROR(VLOOKUP(SUBSTITUTE(E504,"DS ","")&amp;F504,#REF!, 2, 0), ""), user!$B:$D, 3, 0), ""))</f>
        <v/>
      </c>
    </row>
    <row r="505" spans="10:11" x14ac:dyDescent="0.25">
      <c r="K505" s="39"/>
    </row>
  </sheetData>
  <mergeCells count="607">
    <mergeCell ref="H2:H3"/>
    <mergeCell ref="I2:I3"/>
    <mergeCell ref="J2:J3"/>
    <mergeCell ref="K2:K3"/>
    <mergeCell ref="A4:A5"/>
    <mergeCell ref="B4:B5"/>
    <mergeCell ref="C4:C5"/>
    <mergeCell ref="E4:E5"/>
    <mergeCell ref="F4:F5"/>
    <mergeCell ref="G4:G5"/>
    <mergeCell ref="A2:A3"/>
    <mergeCell ref="B2:B3"/>
    <mergeCell ref="C2:C3"/>
    <mergeCell ref="E2:E3"/>
    <mergeCell ref="F2:F3"/>
    <mergeCell ref="G2:G3"/>
    <mergeCell ref="H4:H5"/>
    <mergeCell ref="I4:I5"/>
    <mergeCell ref="J4:J5"/>
    <mergeCell ref="K4:K5"/>
    <mergeCell ref="A6:A7"/>
    <mergeCell ref="B6:B7"/>
    <mergeCell ref="C6:C7"/>
    <mergeCell ref="E6:E7"/>
    <mergeCell ref="F6:F7"/>
    <mergeCell ref="G6:G7"/>
    <mergeCell ref="H6:H7"/>
    <mergeCell ref="I6:I7"/>
    <mergeCell ref="J6:J7"/>
    <mergeCell ref="K6:K7"/>
    <mergeCell ref="A8:A9"/>
    <mergeCell ref="B8:B9"/>
    <mergeCell ref="C8:C9"/>
    <mergeCell ref="E8:E9"/>
    <mergeCell ref="F8:F9"/>
    <mergeCell ref="G8:G9"/>
    <mergeCell ref="H8:H9"/>
    <mergeCell ref="I8:I9"/>
    <mergeCell ref="J8:J9"/>
    <mergeCell ref="K8:K9"/>
    <mergeCell ref="A10:A11"/>
    <mergeCell ref="B10:B11"/>
    <mergeCell ref="C10:C11"/>
    <mergeCell ref="E10:E11"/>
    <mergeCell ref="F10:F11"/>
    <mergeCell ref="G10:G11"/>
    <mergeCell ref="H10:H11"/>
    <mergeCell ref="I10:I11"/>
    <mergeCell ref="J10:J11"/>
    <mergeCell ref="K10:K11"/>
    <mergeCell ref="A12:A13"/>
    <mergeCell ref="B12:B13"/>
    <mergeCell ref="C12:C13"/>
    <mergeCell ref="E12:E13"/>
    <mergeCell ref="F12:F13"/>
    <mergeCell ref="G12:G13"/>
    <mergeCell ref="H12:H13"/>
    <mergeCell ref="I12:I13"/>
    <mergeCell ref="J12:J13"/>
    <mergeCell ref="K12:K13"/>
    <mergeCell ref="A14:A15"/>
    <mergeCell ref="B14:B15"/>
    <mergeCell ref="C14:C15"/>
    <mergeCell ref="E14:E15"/>
    <mergeCell ref="F14:F15"/>
    <mergeCell ref="G14:G15"/>
    <mergeCell ref="H14:H15"/>
    <mergeCell ref="I14:I15"/>
    <mergeCell ref="J14:J15"/>
    <mergeCell ref="K14:K15"/>
    <mergeCell ref="A16:A17"/>
    <mergeCell ref="B16:B17"/>
    <mergeCell ref="C16:C17"/>
    <mergeCell ref="E16:E17"/>
    <mergeCell ref="F16:F17"/>
    <mergeCell ref="G16:G17"/>
    <mergeCell ref="H16:H17"/>
    <mergeCell ref="I16:I17"/>
    <mergeCell ref="J16:J17"/>
    <mergeCell ref="K16:K17"/>
    <mergeCell ref="A18:A19"/>
    <mergeCell ref="B18:B19"/>
    <mergeCell ref="C18:C19"/>
    <mergeCell ref="E18:E19"/>
    <mergeCell ref="F18:F19"/>
    <mergeCell ref="G18:G19"/>
    <mergeCell ref="H18:H19"/>
    <mergeCell ref="I18:I19"/>
    <mergeCell ref="J18:J19"/>
    <mergeCell ref="K18:K19"/>
    <mergeCell ref="A20:A21"/>
    <mergeCell ref="B20:B21"/>
    <mergeCell ref="C20:C21"/>
    <mergeCell ref="E20:E21"/>
    <mergeCell ref="F20:F21"/>
    <mergeCell ref="G20:G21"/>
    <mergeCell ref="H20:H21"/>
    <mergeCell ref="I20:I21"/>
    <mergeCell ref="J20:J21"/>
    <mergeCell ref="K20:K21"/>
    <mergeCell ref="A22:A23"/>
    <mergeCell ref="B22:B23"/>
    <mergeCell ref="C22:C23"/>
    <mergeCell ref="E22:E23"/>
    <mergeCell ref="F22:F23"/>
    <mergeCell ref="G22:G23"/>
    <mergeCell ref="H22:H23"/>
    <mergeCell ref="I22:I23"/>
    <mergeCell ref="J22:J23"/>
    <mergeCell ref="K22:K23"/>
    <mergeCell ref="A24:A25"/>
    <mergeCell ref="B24:B25"/>
    <mergeCell ref="C24:C25"/>
    <mergeCell ref="E24:E25"/>
    <mergeCell ref="F24:F25"/>
    <mergeCell ref="G24:G25"/>
    <mergeCell ref="H24:H25"/>
    <mergeCell ref="I24:I25"/>
    <mergeCell ref="J24:J25"/>
    <mergeCell ref="K24:K25"/>
    <mergeCell ref="A26:A27"/>
    <mergeCell ref="B26:B27"/>
    <mergeCell ref="C26:C27"/>
    <mergeCell ref="E26:E27"/>
    <mergeCell ref="F26:F27"/>
    <mergeCell ref="G26:G27"/>
    <mergeCell ref="J30:J31"/>
    <mergeCell ref="K30:K31"/>
    <mergeCell ref="J32:J33"/>
    <mergeCell ref="K32:K33"/>
    <mergeCell ref="J34:J35"/>
    <mergeCell ref="K34:K35"/>
    <mergeCell ref="H26:H27"/>
    <mergeCell ref="I26:I27"/>
    <mergeCell ref="J26:J27"/>
    <mergeCell ref="K26:K27"/>
    <mergeCell ref="J28:J29"/>
    <mergeCell ref="K28:K29"/>
    <mergeCell ref="J42:J43"/>
    <mergeCell ref="K42:K43"/>
    <mergeCell ref="J44:J45"/>
    <mergeCell ref="K44:K45"/>
    <mergeCell ref="J46:J47"/>
    <mergeCell ref="K46:K47"/>
    <mergeCell ref="J36:J37"/>
    <mergeCell ref="K36:K37"/>
    <mergeCell ref="J38:J39"/>
    <mergeCell ref="K38:K39"/>
    <mergeCell ref="J40:J41"/>
    <mergeCell ref="K40:K41"/>
    <mergeCell ref="J54:J55"/>
    <mergeCell ref="K54:K55"/>
    <mergeCell ref="J56:J57"/>
    <mergeCell ref="K56:K57"/>
    <mergeCell ref="J58:J59"/>
    <mergeCell ref="K58:K59"/>
    <mergeCell ref="J48:J49"/>
    <mergeCell ref="K48:K49"/>
    <mergeCell ref="J50:J51"/>
    <mergeCell ref="K50:K51"/>
    <mergeCell ref="J52:J53"/>
    <mergeCell ref="K52:K53"/>
    <mergeCell ref="J66:J67"/>
    <mergeCell ref="K66:K67"/>
    <mergeCell ref="J68:J69"/>
    <mergeCell ref="K68:K69"/>
    <mergeCell ref="J70:J71"/>
    <mergeCell ref="K70:K71"/>
    <mergeCell ref="J60:J61"/>
    <mergeCell ref="K60:K61"/>
    <mergeCell ref="J62:J63"/>
    <mergeCell ref="K62:K63"/>
    <mergeCell ref="J64:J65"/>
    <mergeCell ref="K64:K65"/>
    <mergeCell ref="J78:J79"/>
    <mergeCell ref="K78:K79"/>
    <mergeCell ref="J80:J81"/>
    <mergeCell ref="K80:K81"/>
    <mergeCell ref="J82:J83"/>
    <mergeCell ref="K82:K83"/>
    <mergeCell ref="J72:J73"/>
    <mergeCell ref="K72:K73"/>
    <mergeCell ref="J74:J75"/>
    <mergeCell ref="K74:K75"/>
    <mergeCell ref="J76:J77"/>
    <mergeCell ref="K76:K77"/>
    <mergeCell ref="J90:J91"/>
    <mergeCell ref="K90:K91"/>
    <mergeCell ref="J92:J93"/>
    <mergeCell ref="K92:K93"/>
    <mergeCell ref="J94:J95"/>
    <mergeCell ref="K94:K95"/>
    <mergeCell ref="J84:J85"/>
    <mergeCell ref="K84:K85"/>
    <mergeCell ref="J86:J87"/>
    <mergeCell ref="K86:K87"/>
    <mergeCell ref="J88:J89"/>
    <mergeCell ref="K88:K89"/>
    <mergeCell ref="J102:J103"/>
    <mergeCell ref="K102:K103"/>
    <mergeCell ref="J104:J105"/>
    <mergeCell ref="K104:K105"/>
    <mergeCell ref="J106:J107"/>
    <mergeCell ref="K106:K107"/>
    <mergeCell ref="J96:J97"/>
    <mergeCell ref="K96:K97"/>
    <mergeCell ref="J98:J99"/>
    <mergeCell ref="K98:K99"/>
    <mergeCell ref="J100:J101"/>
    <mergeCell ref="K100:K101"/>
    <mergeCell ref="J114:J115"/>
    <mergeCell ref="K114:K115"/>
    <mergeCell ref="J116:J117"/>
    <mergeCell ref="K116:K117"/>
    <mergeCell ref="J118:J119"/>
    <mergeCell ref="K118:K119"/>
    <mergeCell ref="J108:J109"/>
    <mergeCell ref="K108:K109"/>
    <mergeCell ref="J110:J111"/>
    <mergeCell ref="K110:K111"/>
    <mergeCell ref="J112:J113"/>
    <mergeCell ref="K112:K113"/>
    <mergeCell ref="J126:J127"/>
    <mergeCell ref="K126:K127"/>
    <mergeCell ref="J128:J129"/>
    <mergeCell ref="K128:K129"/>
    <mergeCell ref="J130:J131"/>
    <mergeCell ref="K130:K131"/>
    <mergeCell ref="J120:J121"/>
    <mergeCell ref="K120:K121"/>
    <mergeCell ref="J122:J123"/>
    <mergeCell ref="K122:K123"/>
    <mergeCell ref="J124:J125"/>
    <mergeCell ref="K124:K125"/>
    <mergeCell ref="J138:J139"/>
    <mergeCell ref="K138:K139"/>
    <mergeCell ref="J140:J141"/>
    <mergeCell ref="K140:K141"/>
    <mergeCell ref="J142:J143"/>
    <mergeCell ref="K142:K143"/>
    <mergeCell ref="J132:J133"/>
    <mergeCell ref="K132:K133"/>
    <mergeCell ref="J134:J135"/>
    <mergeCell ref="K134:K135"/>
    <mergeCell ref="J136:J137"/>
    <mergeCell ref="K136:K137"/>
    <mergeCell ref="J150:J151"/>
    <mergeCell ref="K150:K151"/>
    <mergeCell ref="J152:J153"/>
    <mergeCell ref="K152:K153"/>
    <mergeCell ref="J154:J155"/>
    <mergeCell ref="K154:K155"/>
    <mergeCell ref="J144:J145"/>
    <mergeCell ref="K144:K145"/>
    <mergeCell ref="J146:J147"/>
    <mergeCell ref="K146:K147"/>
    <mergeCell ref="J148:J149"/>
    <mergeCell ref="K148:K149"/>
    <mergeCell ref="J162:J163"/>
    <mergeCell ref="K162:K163"/>
    <mergeCell ref="J164:J165"/>
    <mergeCell ref="K164:K165"/>
    <mergeCell ref="J166:J167"/>
    <mergeCell ref="K166:K167"/>
    <mergeCell ref="J156:J157"/>
    <mergeCell ref="K156:K157"/>
    <mergeCell ref="J158:J159"/>
    <mergeCell ref="K158:K159"/>
    <mergeCell ref="J160:J161"/>
    <mergeCell ref="K160:K161"/>
    <mergeCell ref="J174:J175"/>
    <mergeCell ref="K174:K175"/>
    <mergeCell ref="J176:J177"/>
    <mergeCell ref="K176:K177"/>
    <mergeCell ref="J178:J179"/>
    <mergeCell ref="K178:K179"/>
    <mergeCell ref="J168:J169"/>
    <mergeCell ref="K168:K169"/>
    <mergeCell ref="J170:J171"/>
    <mergeCell ref="K170:K171"/>
    <mergeCell ref="J172:J173"/>
    <mergeCell ref="K172:K173"/>
    <mergeCell ref="J186:J187"/>
    <mergeCell ref="K186:K187"/>
    <mergeCell ref="J188:J189"/>
    <mergeCell ref="K188:K189"/>
    <mergeCell ref="J190:J191"/>
    <mergeCell ref="K190:K191"/>
    <mergeCell ref="J180:J181"/>
    <mergeCell ref="K180:K181"/>
    <mergeCell ref="J182:J183"/>
    <mergeCell ref="K182:K183"/>
    <mergeCell ref="J184:J185"/>
    <mergeCell ref="K184:K185"/>
    <mergeCell ref="J198:J199"/>
    <mergeCell ref="K198:K199"/>
    <mergeCell ref="J200:J201"/>
    <mergeCell ref="K200:K201"/>
    <mergeCell ref="J202:J203"/>
    <mergeCell ref="K202:K203"/>
    <mergeCell ref="J192:J193"/>
    <mergeCell ref="K192:K193"/>
    <mergeCell ref="J194:J195"/>
    <mergeCell ref="K194:K195"/>
    <mergeCell ref="J196:J197"/>
    <mergeCell ref="K196:K197"/>
    <mergeCell ref="J210:J211"/>
    <mergeCell ref="K210:K211"/>
    <mergeCell ref="J212:J213"/>
    <mergeCell ref="K212:K213"/>
    <mergeCell ref="J214:J215"/>
    <mergeCell ref="K214:K215"/>
    <mergeCell ref="J204:J205"/>
    <mergeCell ref="K204:K205"/>
    <mergeCell ref="J206:J207"/>
    <mergeCell ref="K206:K207"/>
    <mergeCell ref="J208:J209"/>
    <mergeCell ref="K208:K209"/>
    <mergeCell ref="J222:J223"/>
    <mergeCell ref="K222:K223"/>
    <mergeCell ref="J224:J225"/>
    <mergeCell ref="K224:K225"/>
    <mergeCell ref="J226:J227"/>
    <mergeCell ref="K226:K227"/>
    <mergeCell ref="J216:J217"/>
    <mergeCell ref="K216:K217"/>
    <mergeCell ref="J218:J219"/>
    <mergeCell ref="K218:K219"/>
    <mergeCell ref="J220:J221"/>
    <mergeCell ref="K220:K221"/>
    <mergeCell ref="J234:J235"/>
    <mergeCell ref="K234:K235"/>
    <mergeCell ref="J236:J237"/>
    <mergeCell ref="K236:K237"/>
    <mergeCell ref="J238:J239"/>
    <mergeCell ref="K238:K239"/>
    <mergeCell ref="J228:J229"/>
    <mergeCell ref="K228:K229"/>
    <mergeCell ref="J230:J231"/>
    <mergeCell ref="K230:K231"/>
    <mergeCell ref="J232:J233"/>
    <mergeCell ref="K232:K233"/>
    <mergeCell ref="J246:J247"/>
    <mergeCell ref="K246:K247"/>
    <mergeCell ref="J248:J249"/>
    <mergeCell ref="K248:K249"/>
    <mergeCell ref="J250:J251"/>
    <mergeCell ref="K250:K251"/>
    <mergeCell ref="J240:J241"/>
    <mergeCell ref="K240:K241"/>
    <mergeCell ref="J242:J243"/>
    <mergeCell ref="K242:K243"/>
    <mergeCell ref="J244:J245"/>
    <mergeCell ref="K244:K245"/>
    <mergeCell ref="J258:J259"/>
    <mergeCell ref="K258:K259"/>
    <mergeCell ref="J260:J261"/>
    <mergeCell ref="K260:K261"/>
    <mergeCell ref="J262:J263"/>
    <mergeCell ref="K262:K263"/>
    <mergeCell ref="J252:J253"/>
    <mergeCell ref="K252:K253"/>
    <mergeCell ref="J254:J255"/>
    <mergeCell ref="K254:K255"/>
    <mergeCell ref="J256:J257"/>
    <mergeCell ref="K256:K257"/>
    <mergeCell ref="J270:J271"/>
    <mergeCell ref="K270:K271"/>
    <mergeCell ref="J272:J273"/>
    <mergeCell ref="K272:K273"/>
    <mergeCell ref="J274:J275"/>
    <mergeCell ref="K274:K275"/>
    <mergeCell ref="J264:J265"/>
    <mergeCell ref="K264:K265"/>
    <mergeCell ref="J266:J267"/>
    <mergeCell ref="K266:K267"/>
    <mergeCell ref="J268:J269"/>
    <mergeCell ref="K268:K269"/>
    <mergeCell ref="J282:J283"/>
    <mergeCell ref="K282:K283"/>
    <mergeCell ref="J284:J285"/>
    <mergeCell ref="K284:K285"/>
    <mergeCell ref="J286:J287"/>
    <mergeCell ref="K286:K287"/>
    <mergeCell ref="J276:J277"/>
    <mergeCell ref="K276:K277"/>
    <mergeCell ref="J278:J279"/>
    <mergeCell ref="K278:K279"/>
    <mergeCell ref="J280:J281"/>
    <mergeCell ref="K280:K281"/>
    <mergeCell ref="J294:J295"/>
    <mergeCell ref="K294:K295"/>
    <mergeCell ref="J296:J297"/>
    <mergeCell ref="K296:K297"/>
    <mergeCell ref="J298:J299"/>
    <mergeCell ref="K298:K299"/>
    <mergeCell ref="J288:J289"/>
    <mergeCell ref="K288:K289"/>
    <mergeCell ref="J290:J291"/>
    <mergeCell ref="K290:K291"/>
    <mergeCell ref="J292:J293"/>
    <mergeCell ref="K292:K293"/>
    <mergeCell ref="J306:J307"/>
    <mergeCell ref="K306:K307"/>
    <mergeCell ref="J308:J309"/>
    <mergeCell ref="K308:K309"/>
    <mergeCell ref="J310:J311"/>
    <mergeCell ref="K310:K311"/>
    <mergeCell ref="J300:J301"/>
    <mergeCell ref="K300:K301"/>
    <mergeCell ref="J302:J303"/>
    <mergeCell ref="K302:K303"/>
    <mergeCell ref="J304:J305"/>
    <mergeCell ref="K304:K305"/>
    <mergeCell ref="J318:J319"/>
    <mergeCell ref="K318:K319"/>
    <mergeCell ref="J320:J321"/>
    <mergeCell ref="K320:K321"/>
    <mergeCell ref="J322:J323"/>
    <mergeCell ref="K322:K323"/>
    <mergeCell ref="J312:J313"/>
    <mergeCell ref="K312:K313"/>
    <mergeCell ref="J314:J315"/>
    <mergeCell ref="K314:K315"/>
    <mergeCell ref="J316:J317"/>
    <mergeCell ref="K316:K317"/>
    <mergeCell ref="J330:J331"/>
    <mergeCell ref="K330:K331"/>
    <mergeCell ref="J332:J333"/>
    <mergeCell ref="K332:K333"/>
    <mergeCell ref="J334:J335"/>
    <mergeCell ref="K334:K335"/>
    <mergeCell ref="J324:J325"/>
    <mergeCell ref="K324:K325"/>
    <mergeCell ref="J326:J327"/>
    <mergeCell ref="K326:K327"/>
    <mergeCell ref="J328:J329"/>
    <mergeCell ref="K328:K329"/>
    <mergeCell ref="J342:J343"/>
    <mergeCell ref="K342:K343"/>
    <mergeCell ref="J344:J345"/>
    <mergeCell ref="K344:K345"/>
    <mergeCell ref="J346:J347"/>
    <mergeCell ref="K346:K347"/>
    <mergeCell ref="J336:J337"/>
    <mergeCell ref="K336:K337"/>
    <mergeCell ref="J338:J339"/>
    <mergeCell ref="K338:K339"/>
    <mergeCell ref="J340:J341"/>
    <mergeCell ref="K340:K341"/>
    <mergeCell ref="J354:J355"/>
    <mergeCell ref="K354:K355"/>
    <mergeCell ref="J356:J357"/>
    <mergeCell ref="K356:K357"/>
    <mergeCell ref="J358:J359"/>
    <mergeCell ref="K358:K359"/>
    <mergeCell ref="J348:J349"/>
    <mergeCell ref="K348:K349"/>
    <mergeCell ref="J350:J351"/>
    <mergeCell ref="K350:K351"/>
    <mergeCell ref="J352:J353"/>
    <mergeCell ref="K352:K353"/>
    <mergeCell ref="J366:J367"/>
    <mergeCell ref="K366:K367"/>
    <mergeCell ref="J368:J369"/>
    <mergeCell ref="K368:K369"/>
    <mergeCell ref="J370:J371"/>
    <mergeCell ref="K370:K371"/>
    <mergeCell ref="J360:J361"/>
    <mergeCell ref="K360:K361"/>
    <mergeCell ref="J362:J363"/>
    <mergeCell ref="K362:K363"/>
    <mergeCell ref="J364:J365"/>
    <mergeCell ref="K364:K365"/>
    <mergeCell ref="J378:J379"/>
    <mergeCell ref="K378:K379"/>
    <mergeCell ref="J380:J381"/>
    <mergeCell ref="K380:K381"/>
    <mergeCell ref="J382:J383"/>
    <mergeCell ref="K382:K383"/>
    <mergeCell ref="J372:J373"/>
    <mergeCell ref="K372:K373"/>
    <mergeCell ref="J374:J375"/>
    <mergeCell ref="K374:K375"/>
    <mergeCell ref="J376:J377"/>
    <mergeCell ref="K376:K377"/>
    <mergeCell ref="J390:J391"/>
    <mergeCell ref="K390:K391"/>
    <mergeCell ref="J392:J393"/>
    <mergeCell ref="K392:K393"/>
    <mergeCell ref="J394:J395"/>
    <mergeCell ref="K394:K395"/>
    <mergeCell ref="J384:J385"/>
    <mergeCell ref="K384:K385"/>
    <mergeCell ref="J386:J387"/>
    <mergeCell ref="K386:K387"/>
    <mergeCell ref="J388:J389"/>
    <mergeCell ref="K388:K389"/>
    <mergeCell ref="J402:J403"/>
    <mergeCell ref="K402:K403"/>
    <mergeCell ref="J404:J405"/>
    <mergeCell ref="K404:K405"/>
    <mergeCell ref="J406:J407"/>
    <mergeCell ref="K406:K407"/>
    <mergeCell ref="J396:J397"/>
    <mergeCell ref="K396:K397"/>
    <mergeCell ref="J398:J399"/>
    <mergeCell ref="K398:K399"/>
    <mergeCell ref="J400:J401"/>
    <mergeCell ref="K400:K401"/>
    <mergeCell ref="J414:J415"/>
    <mergeCell ref="K414:K415"/>
    <mergeCell ref="J416:J417"/>
    <mergeCell ref="K416:K417"/>
    <mergeCell ref="J418:J419"/>
    <mergeCell ref="K418:K419"/>
    <mergeCell ref="J408:J409"/>
    <mergeCell ref="K408:K409"/>
    <mergeCell ref="J410:J411"/>
    <mergeCell ref="K410:K411"/>
    <mergeCell ref="J412:J413"/>
    <mergeCell ref="K412:K413"/>
    <mergeCell ref="J426:J427"/>
    <mergeCell ref="K426:K427"/>
    <mergeCell ref="J428:J429"/>
    <mergeCell ref="K428:K429"/>
    <mergeCell ref="J430:J431"/>
    <mergeCell ref="K430:K431"/>
    <mergeCell ref="J420:J421"/>
    <mergeCell ref="K420:K421"/>
    <mergeCell ref="J422:J423"/>
    <mergeCell ref="K422:K423"/>
    <mergeCell ref="J424:J425"/>
    <mergeCell ref="K424:K425"/>
    <mergeCell ref="J438:J439"/>
    <mergeCell ref="K438:K439"/>
    <mergeCell ref="J440:J441"/>
    <mergeCell ref="K440:K441"/>
    <mergeCell ref="J442:J443"/>
    <mergeCell ref="K442:K443"/>
    <mergeCell ref="J432:J433"/>
    <mergeCell ref="K432:K433"/>
    <mergeCell ref="J434:J435"/>
    <mergeCell ref="K434:K435"/>
    <mergeCell ref="J436:J437"/>
    <mergeCell ref="K436:K437"/>
    <mergeCell ref="J450:J451"/>
    <mergeCell ref="K450:K451"/>
    <mergeCell ref="J452:J453"/>
    <mergeCell ref="K452:K453"/>
    <mergeCell ref="J454:J455"/>
    <mergeCell ref="K454:K455"/>
    <mergeCell ref="J444:J445"/>
    <mergeCell ref="K444:K445"/>
    <mergeCell ref="J446:J447"/>
    <mergeCell ref="K446:K447"/>
    <mergeCell ref="J448:J449"/>
    <mergeCell ref="K448:K449"/>
    <mergeCell ref="J462:J463"/>
    <mergeCell ref="K462:K463"/>
    <mergeCell ref="J464:J465"/>
    <mergeCell ref="K464:K465"/>
    <mergeCell ref="J466:J467"/>
    <mergeCell ref="K466:K467"/>
    <mergeCell ref="J456:J457"/>
    <mergeCell ref="K456:K457"/>
    <mergeCell ref="J458:J459"/>
    <mergeCell ref="K458:K459"/>
    <mergeCell ref="J460:J461"/>
    <mergeCell ref="K460:K461"/>
    <mergeCell ref="J474:J475"/>
    <mergeCell ref="K474:K475"/>
    <mergeCell ref="J476:J477"/>
    <mergeCell ref="K476:K477"/>
    <mergeCell ref="J478:J479"/>
    <mergeCell ref="K478:K479"/>
    <mergeCell ref="J468:J469"/>
    <mergeCell ref="K468:K469"/>
    <mergeCell ref="J470:J471"/>
    <mergeCell ref="K470:K471"/>
    <mergeCell ref="J472:J473"/>
    <mergeCell ref="K472:K473"/>
    <mergeCell ref="J486:J487"/>
    <mergeCell ref="K486:K487"/>
    <mergeCell ref="J488:J489"/>
    <mergeCell ref="K488:K489"/>
    <mergeCell ref="J490:J491"/>
    <mergeCell ref="K490:K491"/>
    <mergeCell ref="J480:J481"/>
    <mergeCell ref="K480:K481"/>
    <mergeCell ref="J482:J483"/>
    <mergeCell ref="K482:K483"/>
    <mergeCell ref="J484:J485"/>
    <mergeCell ref="K484:K485"/>
    <mergeCell ref="K504:K505"/>
    <mergeCell ref="J498:J499"/>
    <mergeCell ref="K498:K499"/>
    <mergeCell ref="J500:J501"/>
    <mergeCell ref="K500:K501"/>
    <mergeCell ref="J502:J503"/>
    <mergeCell ref="K502:K503"/>
    <mergeCell ref="J492:J493"/>
    <mergeCell ref="K492:K493"/>
    <mergeCell ref="J494:J495"/>
    <mergeCell ref="K494:K495"/>
    <mergeCell ref="J496:J497"/>
    <mergeCell ref="K496:K49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505"/>
  <sheetViews>
    <sheetView workbookViewId="0">
      <selection activeCell="I16" sqref="I16:I17"/>
    </sheetView>
  </sheetViews>
  <sheetFormatPr defaultRowHeight="15" x14ac:dyDescent="0.25"/>
  <cols>
    <col min="1" max="1" width="3.85546875" bestFit="1" customWidth="1"/>
    <col min="2" max="2" width="14.28515625" style="3" bestFit="1" customWidth="1"/>
    <col min="3" max="3" width="11.28515625" bestFit="1" customWidth="1"/>
    <col min="4" max="4" width="24" bestFit="1" customWidth="1"/>
    <col min="5" max="5" width="16" bestFit="1" customWidth="1"/>
    <col min="6" max="6" width="13.5703125" bestFit="1" customWidth="1"/>
    <col min="7" max="7" width="17.140625" customWidth="1"/>
    <col min="8" max="8" width="21.85546875" customWidth="1"/>
    <col min="9" max="9" width="10.7109375" customWidth="1"/>
    <col min="10" max="10" width="28" style="3" customWidth="1"/>
    <col min="11" max="11" width="11" customWidth="1"/>
  </cols>
  <sheetData>
    <row r="1" spans="1:11" ht="29.25" thickBot="1" x14ac:dyDescent="0.3">
      <c r="A1" s="20" t="s">
        <v>2</v>
      </c>
      <c r="B1" s="21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406</v>
      </c>
      <c r="J1" s="2" t="s">
        <v>18</v>
      </c>
      <c r="K1" s="1" t="s">
        <v>19</v>
      </c>
    </row>
    <row r="2" spans="1:11" ht="15" customHeight="1" thickTop="1" x14ac:dyDescent="0.25">
      <c r="A2" s="35">
        <v>1</v>
      </c>
      <c r="B2" s="36">
        <v>2603076537</v>
      </c>
      <c r="C2" s="37" t="s">
        <v>402</v>
      </c>
      <c r="D2" s="22" t="s">
        <v>403</v>
      </c>
      <c r="E2" s="37" t="s">
        <v>405</v>
      </c>
      <c r="F2" s="37" t="s">
        <v>10</v>
      </c>
      <c r="G2" s="38">
        <v>243200</v>
      </c>
      <c r="H2" s="24">
        <v>46091</v>
      </c>
      <c r="I2" s="37"/>
      <c r="J2" s="39" t="str">
        <f>IF(E2="", "", IFERROR(VLOOKUP(IFERROR(VLOOKUP(SUBSTITUTE(E2,"DS ","")&amp;F2, wilayahfix!$A:$D, 2, 0), ""), user!$B:$D, 2, 0), "TIDAK KETEMU"))</f>
        <v>120201219820720072991</v>
      </c>
      <c r="K2" s="39" t="str">
        <f>IF(E2="", "", IFERROR(VLOOKUP(IFERROR(VLOOKUP(SUBSTITUTE(E2,"DS ","")&amp;F2, wilayahfix!$A:$D, 2, 0), ""), user!$B:$D, 3, 0), ""))</f>
        <v>KADIR</v>
      </c>
    </row>
    <row r="3" spans="1:11" ht="15.75" thickBot="1" x14ac:dyDescent="0.3">
      <c r="A3" s="27"/>
      <c r="B3" s="29"/>
      <c r="C3" s="31"/>
      <c r="D3" s="23" t="s">
        <v>404</v>
      </c>
      <c r="E3" s="31"/>
      <c r="F3" s="31"/>
      <c r="G3" s="33"/>
      <c r="H3" s="25"/>
      <c r="I3" s="31"/>
      <c r="J3" s="39"/>
      <c r="K3" s="39"/>
    </row>
    <row r="4" spans="1:11" ht="15" customHeight="1" x14ac:dyDescent="0.25">
      <c r="A4" s="26">
        <v>2</v>
      </c>
      <c r="B4" s="28">
        <v>2603064038</v>
      </c>
      <c r="C4" s="30" t="s">
        <v>407</v>
      </c>
      <c r="D4" s="22" t="s">
        <v>408</v>
      </c>
      <c r="E4" s="30" t="s">
        <v>410</v>
      </c>
      <c r="F4" s="30" t="s">
        <v>10</v>
      </c>
      <c r="G4" s="32">
        <v>209200</v>
      </c>
      <c r="H4" s="34">
        <v>46091</v>
      </c>
      <c r="I4" s="30"/>
      <c r="J4" s="39" t="str">
        <f>IF(E4="", "", IFERROR(VLOOKUP(IFERROR(VLOOKUP(SUBSTITUTE(E4,"DS ","")&amp;F4, wilayahfix!$A:$D, 2, 0), ""), user!$B:$D, 2, 0), "TIDAK KETEMU"))</f>
        <v>120201219820720072991</v>
      </c>
      <c r="K4" s="39" t="str">
        <f>IF(E4="", "", IFERROR(VLOOKUP(IFERROR(VLOOKUP(SUBSTITUTE(E4,"DS ","")&amp;F4, wilayahfix!$A:$D, 2, 0), ""), user!$B:$D, 3, 0), ""))</f>
        <v>KADIR</v>
      </c>
    </row>
    <row r="5" spans="1:11" ht="15.75" thickBot="1" x14ac:dyDescent="0.3">
      <c r="A5" s="27"/>
      <c r="B5" s="29"/>
      <c r="C5" s="31"/>
      <c r="D5" s="23" t="s">
        <v>409</v>
      </c>
      <c r="E5" s="31"/>
      <c r="F5" s="31"/>
      <c r="G5" s="33"/>
      <c r="H5" s="25"/>
      <c r="I5" s="31"/>
      <c r="J5" s="39"/>
      <c r="K5" s="39"/>
    </row>
    <row r="6" spans="1:11" ht="15" customHeight="1" x14ac:dyDescent="0.25">
      <c r="A6" s="26">
        <v>3</v>
      </c>
      <c r="B6" s="28">
        <v>2603071699</v>
      </c>
      <c r="C6" s="30" t="s">
        <v>411</v>
      </c>
      <c r="D6" s="22" t="s">
        <v>412</v>
      </c>
      <c r="E6" s="30" t="s">
        <v>414</v>
      </c>
      <c r="F6" s="30" t="s">
        <v>10</v>
      </c>
      <c r="G6" s="32">
        <v>151900</v>
      </c>
      <c r="H6" s="34">
        <v>46091</v>
      </c>
      <c r="I6" s="30"/>
      <c r="J6" s="39" t="str">
        <f>IF(E6="", "", IFERROR(VLOOKUP(IFERROR(VLOOKUP(SUBSTITUTE(E6,"DS ","")&amp;F6, wilayahfix!$A:$D, 2, 0), ""), user!$B:$D, 2, 0), "TIDAK KETEMU"))</f>
        <v>120291019860720072992</v>
      </c>
      <c r="K6" s="39" t="str">
        <f>IF(E6="", "", IFERROR(VLOOKUP(IFERROR(VLOOKUP(SUBSTITUTE(E6,"DS ","")&amp;F6, wilayahfix!$A:$D, 2, 0), ""), user!$B:$D, 3, 0), ""))</f>
        <v>SIAPP</v>
      </c>
    </row>
    <row r="7" spans="1:11" ht="15.75" thickBot="1" x14ac:dyDescent="0.3">
      <c r="A7" s="27"/>
      <c r="B7" s="29"/>
      <c r="C7" s="31"/>
      <c r="D7" s="23" t="s">
        <v>413</v>
      </c>
      <c r="E7" s="31"/>
      <c r="F7" s="31"/>
      <c r="G7" s="33"/>
      <c r="H7" s="25"/>
      <c r="I7" s="31"/>
      <c r="J7" s="39"/>
      <c r="K7" s="39"/>
    </row>
    <row r="8" spans="1:11" ht="15" customHeight="1" x14ac:dyDescent="0.25">
      <c r="A8" s="26">
        <v>4</v>
      </c>
      <c r="B8" s="28">
        <v>2603099049</v>
      </c>
      <c r="C8" s="30" t="s">
        <v>415</v>
      </c>
      <c r="D8" s="22" t="s">
        <v>416</v>
      </c>
      <c r="E8" s="30" t="s">
        <v>418</v>
      </c>
      <c r="F8" s="30" t="s">
        <v>99</v>
      </c>
      <c r="G8" s="32">
        <v>181800</v>
      </c>
      <c r="H8" s="34">
        <v>46091</v>
      </c>
      <c r="I8" s="30"/>
      <c r="J8" s="39" t="str">
        <f>IF(E8="", "", IFERROR(VLOOKUP(IFERROR(VLOOKUP(SUBSTITUTE(E8,"DS ","")&amp;F8, wilayahfix!$A:$D, 2, 0), ""), user!$B:$D, 2, 0), "TIDAK KETEMU"))</f>
        <v>198311252010011005</v>
      </c>
      <c r="K8" s="39" t="str">
        <f>IF(E8="", "", IFERROR(VLOOKUP(IFERROR(VLOOKUP(SUBSTITUTE(E8,"DS ","")&amp;F8, wilayahfix!$A:$D, 2, 0), ""), user!$B:$D, 3, 0), ""))</f>
        <v>YAFET</v>
      </c>
    </row>
    <row r="9" spans="1:11" ht="15.75" thickBot="1" x14ac:dyDescent="0.3">
      <c r="A9" s="27"/>
      <c r="B9" s="29"/>
      <c r="C9" s="31"/>
      <c r="D9" s="23" t="s">
        <v>417</v>
      </c>
      <c r="E9" s="31"/>
      <c r="F9" s="31"/>
      <c r="G9" s="33"/>
      <c r="H9" s="25"/>
      <c r="I9" s="31"/>
      <c r="J9" s="39"/>
      <c r="K9" s="39"/>
    </row>
    <row r="10" spans="1:11" ht="15" customHeight="1" x14ac:dyDescent="0.25">
      <c r="A10" s="26">
        <v>5</v>
      </c>
      <c r="B10" s="28">
        <v>2603082823</v>
      </c>
      <c r="C10" s="30" t="s">
        <v>419</v>
      </c>
      <c r="D10" s="22" t="s">
        <v>420</v>
      </c>
      <c r="E10" s="30" t="s">
        <v>422</v>
      </c>
      <c r="F10" s="30" t="s">
        <v>99</v>
      </c>
      <c r="G10" s="32">
        <v>196800</v>
      </c>
      <c r="H10" s="34">
        <v>46091</v>
      </c>
      <c r="I10" s="30"/>
      <c r="J10" s="39" t="str">
        <f>IF(E10="", "", IFERROR(VLOOKUP(IFERROR(VLOOKUP(SUBSTITUTE(E10,"DS ","")&amp;F10, wilayahfix!$A:$D, 2, 0), ""), user!$B:$D, 2, 0), "TIDAK KETEMU"))</f>
        <v>198311252010011005</v>
      </c>
      <c r="K10" s="39" t="str">
        <f>IF(E10="", "", IFERROR(VLOOKUP(IFERROR(VLOOKUP(SUBSTITUTE(E10,"DS ","")&amp;F10, wilayahfix!$A:$D, 2, 0), ""), user!$B:$D, 3, 0), ""))</f>
        <v>YAFET</v>
      </c>
    </row>
    <row r="11" spans="1:11" ht="29.25" thickBot="1" x14ac:dyDescent="0.3">
      <c r="A11" s="27"/>
      <c r="B11" s="29"/>
      <c r="C11" s="31"/>
      <c r="D11" s="23" t="s">
        <v>421</v>
      </c>
      <c r="E11" s="31"/>
      <c r="F11" s="31"/>
      <c r="G11" s="33"/>
      <c r="H11" s="25"/>
      <c r="I11" s="31"/>
      <c r="J11" s="39"/>
      <c r="K11" s="39"/>
    </row>
    <row r="12" spans="1:11" ht="15" customHeight="1" x14ac:dyDescent="0.25">
      <c r="A12" s="26">
        <v>6</v>
      </c>
      <c r="B12" s="28">
        <v>2603096239</v>
      </c>
      <c r="C12" s="30" t="s">
        <v>423</v>
      </c>
      <c r="D12" s="22" t="s">
        <v>424</v>
      </c>
      <c r="E12" s="30" t="s">
        <v>11</v>
      </c>
      <c r="F12" s="30" t="s">
        <v>12</v>
      </c>
      <c r="G12" s="32">
        <v>267300</v>
      </c>
      <c r="H12" s="34">
        <v>46091</v>
      </c>
      <c r="I12" s="30"/>
      <c r="J12" s="39" t="str">
        <f>IF(E12="", "", IFERROR(VLOOKUP(IFERROR(VLOOKUP(SUBSTITUTE(E12,"DS ","")&amp;F12, wilayahfix!$A:$D, 2, 0), ""), user!$B:$D, 2, 0), "TIDAK KETEMU"))</f>
        <v>120281219860120113003</v>
      </c>
      <c r="K12" s="39">
        <f>IF(E12="", "", IFERROR(VLOOKUP(IFERROR(VLOOKUP(SUBSTITUTE(E12,"DS ","")&amp;F12, wilayahfix!$A:$D, 2, 0), ""), user!$B:$D, 3, 0), ""))</f>
        <v>250005</v>
      </c>
    </row>
    <row r="13" spans="1:11" ht="15.75" thickBot="1" x14ac:dyDescent="0.3">
      <c r="A13" s="27"/>
      <c r="B13" s="29"/>
      <c r="C13" s="31"/>
      <c r="D13" s="23" t="s">
        <v>425</v>
      </c>
      <c r="E13" s="31"/>
      <c r="F13" s="31"/>
      <c r="G13" s="33"/>
      <c r="H13" s="25"/>
      <c r="I13" s="31"/>
      <c r="J13" s="39"/>
      <c r="K13" s="39"/>
    </row>
    <row r="14" spans="1:11" ht="15" customHeight="1" x14ac:dyDescent="0.25">
      <c r="A14" s="26">
        <v>7</v>
      </c>
      <c r="B14" s="28">
        <v>2603076608</v>
      </c>
      <c r="C14" s="30" t="s">
        <v>426</v>
      </c>
      <c r="D14" s="22" t="s">
        <v>427</v>
      </c>
      <c r="E14" s="30" t="s">
        <v>11</v>
      </c>
      <c r="F14" s="30" t="s">
        <v>12</v>
      </c>
      <c r="G14" s="32">
        <v>196800</v>
      </c>
      <c r="H14" s="34">
        <v>46091</v>
      </c>
      <c r="I14" s="30"/>
      <c r="J14" s="39" t="str">
        <f>IF(E14="", "", IFERROR(VLOOKUP(IFERROR(VLOOKUP(SUBSTITUTE(E14,"DS ","")&amp;F14, wilayahfix!$A:$D, 2, 0), ""), user!$B:$D, 2, 0), "TIDAK KETEMU"))</f>
        <v>120281219860120113003</v>
      </c>
      <c r="K14" s="39">
        <f>IF(E14="", "", IFERROR(VLOOKUP(IFERROR(VLOOKUP(SUBSTITUTE(E14,"DS ","")&amp;F14, wilayahfix!$A:$D, 2, 0), ""), user!$B:$D, 3, 0), ""))</f>
        <v>250005</v>
      </c>
    </row>
    <row r="15" spans="1:11" ht="15.75" thickBot="1" x14ac:dyDescent="0.3">
      <c r="A15" s="27"/>
      <c r="B15" s="29"/>
      <c r="C15" s="31"/>
      <c r="D15" s="23" t="s">
        <v>428</v>
      </c>
      <c r="E15" s="31"/>
      <c r="F15" s="31"/>
      <c r="G15" s="33"/>
      <c r="H15" s="25"/>
      <c r="I15" s="31"/>
      <c r="J15" s="39"/>
      <c r="K15" s="39"/>
    </row>
    <row r="16" spans="1:11" ht="15" customHeight="1" x14ac:dyDescent="0.25">
      <c r="A16" s="26">
        <v>8</v>
      </c>
      <c r="B16" s="28">
        <v>2603075042</v>
      </c>
      <c r="C16" s="30" t="s">
        <v>429</v>
      </c>
      <c r="D16" s="22" t="s">
        <v>430</v>
      </c>
      <c r="E16" s="30" t="s">
        <v>432</v>
      </c>
      <c r="F16" s="30" t="s">
        <v>12</v>
      </c>
      <c r="G16" s="32">
        <v>270600</v>
      </c>
      <c r="H16" s="34">
        <v>46091</v>
      </c>
      <c r="I16" s="30"/>
      <c r="J16" s="39" t="str">
        <f>IF(E16="", "", IFERROR(VLOOKUP(IFERROR(VLOOKUP(SUBSTITUTE(E16,"DS ","")&amp;F16, wilayahfix!$A:$D, 2, 0), ""), user!$B:$D, 2, 0), "TIDAK KETEMU"))</f>
        <v>120281219860120113003</v>
      </c>
      <c r="K16" s="39">
        <f>IF(E16="", "", IFERROR(VLOOKUP(IFERROR(VLOOKUP(SUBSTITUTE(E16,"DS ","")&amp;F16, wilayahfix!$A:$D, 2, 0), ""), user!$B:$D, 3, 0), ""))</f>
        <v>250005</v>
      </c>
    </row>
    <row r="17" spans="1:11" ht="15.75" thickBot="1" x14ac:dyDescent="0.3">
      <c r="A17" s="27"/>
      <c r="B17" s="29"/>
      <c r="C17" s="31"/>
      <c r="D17" s="23" t="s">
        <v>431</v>
      </c>
      <c r="E17" s="31"/>
      <c r="F17" s="31"/>
      <c r="G17" s="33"/>
      <c r="H17" s="25"/>
      <c r="I17" s="31"/>
      <c r="J17" s="39"/>
      <c r="K17" s="39"/>
    </row>
    <row r="18" spans="1:11" x14ac:dyDescent="0.25">
      <c r="A18" s="26">
        <v>9</v>
      </c>
      <c r="B18" s="28">
        <v>2603083988</v>
      </c>
      <c r="C18" s="30" t="s">
        <v>433</v>
      </c>
      <c r="D18" s="22" t="s">
        <v>434</v>
      </c>
      <c r="E18" s="30" t="s">
        <v>432</v>
      </c>
      <c r="F18" s="30" t="s">
        <v>12</v>
      </c>
      <c r="G18" s="32">
        <v>216700</v>
      </c>
      <c r="H18" s="34">
        <v>46091</v>
      </c>
      <c r="I18" s="30"/>
      <c r="J18" s="39" t="str">
        <f>IF(E18="", "", IFERROR(VLOOKUP(IFERROR(VLOOKUP(SUBSTITUTE(E18,"DS ","")&amp;F18, wilayahfix!$A:$D, 2, 0), ""), user!$B:$D, 2, 0), "TIDAK KETEMU"))</f>
        <v>120281219860120113003</v>
      </c>
      <c r="K18" s="39">
        <f>IF(E18="", "", IFERROR(VLOOKUP(IFERROR(VLOOKUP(SUBSTITUTE(E18,"DS ","")&amp;F18, wilayahfix!$A:$D, 2, 0), ""), user!$B:$D, 3, 0), ""))</f>
        <v>250005</v>
      </c>
    </row>
    <row r="19" spans="1:11" ht="15.75" thickBot="1" x14ac:dyDescent="0.3">
      <c r="A19" s="27"/>
      <c r="B19" s="29"/>
      <c r="C19" s="31"/>
      <c r="D19" s="23" t="s">
        <v>435</v>
      </c>
      <c r="E19" s="31"/>
      <c r="F19" s="31"/>
      <c r="G19" s="33"/>
      <c r="H19" s="25"/>
      <c r="I19" s="31"/>
      <c r="J19" s="39"/>
      <c r="K19" s="39"/>
    </row>
    <row r="20" spans="1:11" x14ac:dyDescent="0.25">
      <c r="A20" s="26">
        <v>10</v>
      </c>
      <c r="B20" s="28">
        <v>2603028068</v>
      </c>
      <c r="C20" s="30" t="s">
        <v>436</v>
      </c>
      <c r="D20" s="22" t="s">
        <v>437</v>
      </c>
      <c r="E20" s="30" t="s">
        <v>13</v>
      </c>
      <c r="F20" s="30" t="s">
        <v>12</v>
      </c>
      <c r="G20" s="32">
        <v>198400</v>
      </c>
      <c r="H20" s="34">
        <v>46091</v>
      </c>
      <c r="I20" s="30"/>
      <c r="J20" s="39" t="str">
        <f>IF(E20="", "", IFERROR(VLOOKUP(IFERROR(VLOOKUP(SUBSTITUTE(E20,"DS ","")&amp;F20, wilayahfix!$A:$D, 2, 0), ""), user!$B:$D, 2, 0), "TIDAK KETEMU"))</f>
        <v>120281219860120113003</v>
      </c>
      <c r="K20" s="39">
        <f>IF(E20="", "", IFERROR(VLOOKUP(IFERROR(VLOOKUP(SUBSTITUTE(E20,"DS ","")&amp;F20, wilayahfix!$A:$D, 2, 0), ""), user!$B:$D, 3, 0), ""))</f>
        <v>250005</v>
      </c>
    </row>
    <row r="21" spans="1:11" ht="15.75" thickBot="1" x14ac:dyDescent="0.3">
      <c r="A21" s="27"/>
      <c r="B21" s="29"/>
      <c r="C21" s="31"/>
      <c r="D21" s="23" t="s">
        <v>438</v>
      </c>
      <c r="E21" s="31"/>
      <c r="F21" s="31"/>
      <c r="G21" s="33"/>
      <c r="H21" s="25"/>
      <c r="I21" s="31"/>
      <c r="J21" s="39"/>
      <c r="K21" s="39"/>
    </row>
    <row r="22" spans="1:11" x14ac:dyDescent="0.25">
      <c r="A22" s="26">
        <v>11</v>
      </c>
      <c r="B22" s="28">
        <v>2603012223</v>
      </c>
      <c r="C22" s="30" t="s">
        <v>439</v>
      </c>
      <c r="D22" s="22" t="s">
        <v>440</v>
      </c>
      <c r="E22" s="30" t="s">
        <v>13</v>
      </c>
      <c r="F22" s="30" t="s">
        <v>12</v>
      </c>
      <c r="G22" s="32">
        <v>198400</v>
      </c>
      <c r="H22" s="34">
        <v>46091</v>
      </c>
      <c r="I22" s="30"/>
      <c r="J22" s="39" t="str">
        <f>IF(E22="", "", IFERROR(VLOOKUP(IFERROR(VLOOKUP(SUBSTITUTE(E22,"DS ","")&amp;F22, wilayahfix!$A:$D, 2, 0), ""), user!$B:$D, 2, 0), "TIDAK KETEMU"))</f>
        <v>120281219860120113003</v>
      </c>
      <c r="K22" s="39">
        <f>IF(E22="", "", IFERROR(VLOOKUP(IFERROR(VLOOKUP(SUBSTITUTE(E22,"DS ","")&amp;F22, wilayahfix!$A:$D, 2, 0), ""), user!$B:$D, 3, 0), ""))</f>
        <v>250005</v>
      </c>
    </row>
    <row r="23" spans="1:11" ht="15.75" thickBot="1" x14ac:dyDescent="0.3">
      <c r="A23" s="27"/>
      <c r="B23" s="29"/>
      <c r="C23" s="31"/>
      <c r="D23" s="23" t="s">
        <v>441</v>
      </c>
      <c r="E23" s="31"/>
      <c r="F23" s="31"/>
      <c r="G23" s="33"/>
      <c r="H23" s="25"/>
      <c r="I23" s="31"/>
      <c r="J23" s="39"/>
      <c r="K23" s="39"/>
    </row>
    <row r="24" spans="1:11" x14ac:dyDescent="0.25">
      <c r="A24" s="26">
        <v>12</v>
      </c>
      <c r="B24" s="28">
        <v>2603087991</v>
      </c>
      <c r="C24" s="30" t="s">
        <v>442</v>
      </c>
      <c r="D24" s="22" t="s">
        <v>443</v>
      </c>
      <c r="E24" s="30" t="s">
        <v>13</v>
      </c>
      <c r="F24" s="30" t="s">
        <v>12</v>
      </c>
      <c r="G24" s="32">
        <v>183500</v>
      </c>
      <c r="H24" s="34">
        <v>46091</v>
      </c>
      <c r="I24" s="30"/>
      <c r="J24" s="39" t="str">
        <f>IF(E24="", "", IFERROR(VLOOKUP(IFERROR(VLOOKUP(SUBSTITUTE(E24,"DS ","")&amp;F24, wilayahfix!$A:$D, 2, 0), ""), user!$B:$D, 2, 0), "TIDAK KETEMU"))</f>
        <v>120281219860120113003</v>
      </c>
      <c r="K24" s="39">
        <f>IF(E24="", "", IFERROR(VLOOKUP(IFERROR(VLOOKUP(SUBSTITUTE(E24,"DS ","")&amp;F24, wilayahfix!$A:$D, 2, 0), ""), user!$B:$D, 3, 0), ""))</f>
        <v>250005</v>
      </c>
    </row>
    <row r="25" spans="1:11" ht="15.75" thickBot="1" x14ac:dyDescent="0.3">
      <c r="A25" s="27"/>
      <c r="B25" s="29"/>
      <c r="C25" s="31"/>
      <c r="D25" s="23" t="s">
        <v>444</v>
      </c>
      <c r="E25" s="31"/>
      <c r="F25" s="31"/>
      <c r="G25" s="33"/>
      <c r="H25" s="25"/>
      <c r="I25" s="31"/>
      <c r="J25" s="39"/>
      <c r="K25" s="39"/>
    </row>
    <row r="26" spans="1:11" x14ac:dyDescent="0.25">
      <c r="A26" s="26">
        <v>13</v>
      </c>
      <c r="B26" s="28">
        <v>2603078723</v>
      </c>
      <c r="C26" s="30" t="s">
        <v>445</v>
      </c>
      <c r="D26" s="22" t="s">
        <v>446</v>
      </c>
      <c r="E26" s="30" t="s">
        <v>15</v>
      </c>
      <c r="F26" s="30" t="s">
        <v>12</v>
      </c>
      <c r="G26" s="32">
        <v>417500</v>
      </c>
      <c r="H26" s="34">
        <v>46091</v>
      </c>
      <c r="I26" s="30"/>
      <c r="J26" s="39" t="str">
        <f>IF(E26="", "", IFERROR(VLOOKUP(IFERROR(VLOOKUP(SUBSTITUTE(E26,"DS ","")&amp;F26, wilayahfix!$A:$D, 2, 0), ""), user!$B:$D, 2, 0), "TIDAK KETEMU"))</f>
        <v>120281219860120113003</v>
      </c>
      <c r="K26" s="39">
        <f>IF(E26="", "", IFERROR(VLOOKUP(IFERROR(VLOOKUP(SUBSTITUTE(E26,"DS ","")&amp;F26, wilayahfix!$A:$D, 2, 0), ""), user!$B:$D, 3, 0), ""))</f>
        <v>250005</v>
      </c>
    </row>
    <row r="27" spans="1:11" ht="15.75" thickBot="1" x14ac:dyDescent="0.3">
      <c r="A27" s="27"/>
      <c r="B27" s="29"/>
      <c r="C27" s="31"/>
      <c r="D27" s="23" t="s">
        <v>447</v>
      </c>
      <c r="E27" s="31"/>
      <c r="F27" s="31"/>
      <c r="G27" s="33"/>
      <c r="H27" s="25"/>
      <c r="I27" s="31"/>
      <c r="J27" s="39"/>
      <c r="K27" s="39"/>
    </row>
    <row r="28" spans="1:11" x14ac:dyDescent="0.25">
      <c r="J28" s="39" t="str">
        <f>IF(E28="", "", IFERROR(VLOOKUP(IFERROR(VLOOKUP(SUBSTITUTE(E28,"DS ","")&amp;F28, wilayahfix!$A:$D, 2, 0), ""), user!$B:$D, 2, 0), "TIDAK KETEMU"))</f>
        <v/>
      </c>
      <c r="K28" s="39" t="str">
        <f>IF(E28="", "", IFERROR(VLOOKUP(IFERROR(VLOOKUP(SUBSTITUTE(E28,"DS ","")&amp;F28, wilayahfix!$A:$D, 2, 0), ""), user!$B:$D, 3, 0), ""))</f>
        <v/>
      </c>
    </row>
    <row r="29" spans="1:11" x14ac:dyDescent="0.25">
      <c r="J29" s="39"/>
      <c r="K29" s="39"/>
    </row>
    <row r="30" spans="1:11" x14ac:dyDescent="0.25">
      <c r="J30" s="39" t="str">
        <f>IF(E30="", "", IFERROR(VLOOKUP(IFERROR(VLOOKUP(SUBSTITUTE(E30,"DS ","")&amp;F30, wilayahfix!$A:$D, 2, 0), ""), user!$B:$D, 2, 0), "TIDAK KETEMU"))</f>
        <v/>
      </c>
      <c r="K30" s="39" t="str">
        <f>IF(E30="", "", IFERROR(VLOOKUP(IFERROR(VLOOKUP(SUBSTITUTE(E30,"DS ","")&amp;F30, wilayahfix!$A:$D, 2, 0), ""), user!$B:$D, 3, 0), ""))</f>
        <v/>
      </c>
    </row>
    <row r="31" spans="1:11" x14ac:dyDescent="0.25">
      <c r="J31" s="39"/>
      <c r="K31" s="39"/>
    </row>
    <row r="32" spans="1:11" x14ac:dyDescent="0.25">
      <c r="J32" s="39" t="str">
        <f>IF(E32="", "", IFERROR(VLOOKUP(IFERROR(VLOOKUP(SUBSTITUTE(E32,"DS ","")&amp;F32, wilayahfix!$A:$D, 2, 0), ""), user!$B:$D, 2, 0), "TIDAK KETEMU"))</f>
        <v/>
      </c>
      <c r="K32" s="39" t="str">
        <f>IF(E32="", "", IFERROR(VLOOKUP(IFERROR(VLOOKUP(SUBSTITUTE(E32,"DS ","")&amp;F32, wilayahfix!$A:$D, 2, 0), ""), user!$B:$D, 3, 0), ""))</f>
        <v/>
      </c>
    </row>
    <row r="33" spans="10:11" x14ac:dyDescent="0.25">
      <c r="J33" s="39"/>
      <c r="K33" s="39"/>
    </row>
    <row r="34" spans="10:11" x14ac:dyDescent="0.25">
      <c r="J34" s="39" t="str">
        <f>IF(E34="", "", IFERROR(VLOOKUP(IFERROR(VLOOKUP(SUBSTITUTE(E34,"DS ","")&amp;F34, wilayahfix!$A:$D, 2, 0), ""), user!$B:$D, 2, 0), "TIDAK KETEMU"))</f>
        <v/>
      </c>
      <c r="K34" s="39" t="str">
        <f>IF(E34="", "", IFERROR(VLOOKUP(IFERROR(VLOOKUP(SUBSTITUTE(E34,"DS ","")&amp;F34, wilayahfix!$A:$D, 2, 0), ""), user!$B:$D, 3, 0), ""))</f>
        <v/>
      </c>
    </row>
    <row r="35" spans="10:11" x14ac:dyDescent="0.25">
      <c r="J35" s="39"/>
      <c r="K35" s="39"/>
    </row>
    <row r="36" spans="10:11" x14ac:dyDescent="0.25">
      <c r="J36" s="39" t="str">
        <f>IF(E36="", "", IFERROR(VLOOKUP(IFERROR(VLOOKUP(SUBSTITUTE(E36,"DS ","")&amp;F36, wilayahfix!$A:$D, 2, 0), ""), user!$B:$D, 2, 0), "TIDAK KETEMU"))</f>
        <v/>
      </c>
      <c r="K36" s="39" t="str">
        <f>IF(E36="", "", IFERROR(VLOOKUP(IFERROR(VLOOKUP(SUBSTITUTE(E36,"DS ","")&amp;F36, wilayahfix!$A:$D, 2, 0), ""), user!$B:$D, 3, 0), ""))</f>
        <v/>
      </c>
    </row>
    <row r="37" spans="10:11" x14ac:dyDescent="0.25">
      <c r="J37" s="39"/>
      <c r="K37" s="39"/>
    </row>
    <row r="38" spans="10:11" x14ac:dyDescent="0.25">
      <c r="J38" s="39" t="str">
        <f>IF(E38="", "", IFERROR(VLOOKUP(IFERROR(VLOOKUP(SUBSTITUTE(E38,"DS ","")&amp;F38, wilayahfix!$A:$D, 2, 0), ""), user!$B:$D, 2, 0), "TIDAK KETEMU"))</f>
        <v/>
      </c>
      <c r="K38" s="39" t="str">
        <f>IF(E38="", "", IFERROR(VLOOKUP(IFERROR(VLOOKUP(SUBSTITUTE(E38,"DS ","")&amp;F38, wilayahfix!$A:$D, 2, 0), ""), user!$B:$D, 3, 0), ""))</f>
        <v/>
      </c>
    </row>
    <row r="39" spans="10:11" x14ac:dyDescent="0.25">
      <c r="J39" s="39"/>
      <c r="K39" s="39"/>
    </row>
    <row r="40" spans="10:11" x14ac:dyDescent="0.25">
      <c r="J40" s="39" t="str">
        <f>IF(E40="", "", IFERROR(VLOOKUP(IFERROR(VLOOKUP(SUBSTITUTE(E40,"DS ","")&amp;F40, wilayahfix!$A:$D, 2, 0), ""), user!$B:$D, 2, 0), "TIDAK KETEMU"))</f>
        <v/>
      </c>
      <c r="K40" s="39" t="str">
        <f>IF(E40="", "", IFERROR(VLOOKUP(IFERROR(VLOOKUP(SUBSTITUTE(E40,"DS ","")&amp;F40, wilayahfix!$A:$D, 2, 0), ""), user!$B:$D, 3, 0), ""))</f>
        <v/>
      </c>
    </row>
    <row r="41" spans="10:11" x14ac:dyDescent="0.25">
      <c r="J41" s="39"/>
      <c r="K41" s="39"/>
    </row>
    <row r="42" spans="10:11" x14ac:dyDescent="0.25">
      <c r="J42" s="39" t="str">
        <f>IF(E42="", "", IFERROR(VLOOKUP(IFERROR(VLOOKUP(SUBSTITUTE(E42,"DS ","")&amp;F42, wilayahfix!$A:$D, 2, 0), ""), user!$B:$D, 2, 0), "TIDAK KETEMU"))</f>
        <v/>
      </c>
      <c r="K42" s="39" t="str">
        <f>IF(E42="", "", IFERROR(VLOOKUP(IFERROR(VLOOKUP(SUBSTITUTE(E42,"DS ","")&amp;F42, wilayahfix!$A:$D, 2, 0), ""), user!$B:$D, 3, 0), ""))</f>
        <v/>
      </c>
    </row>
    <row r="43" spans="10:11" x14ac:dyDescent="0.25">
      <c r="J43" s="39"/>
      <c r="K43" s="39"/>
    </row>
    <row r="44" spans="10:11" x14ac:dyDescent="0.25">
      <c r="J44" s="39" t="str">
        <f>IF(E44="", "", IFERROR(VLOOKUP(IFERROR(VLOOKUP(SUBSTITUTE(E44,"DS ","")&amp;F44, wilayahfix!$A:$D, 2, 0), ""), user!$B:$D, 2, 0), "TIDAK KETEMU"))</f>
        <v/>
      </c>
      <c r="K44" s="39" t="str">
        <f>IF(E44="", "", IFERROR(VLOOKUP(IFERROR(VLOOKUP(SUBSTITUTE(E44,"DS ","")&amp;F44, wilayahfix!$A:$D, 2, 0), ""), user!$B:$D, 3, 0), ""))</f>
        <v/>
      </c>
    </row>
    <row r="45" spans="10:11" x14ac:dyDescent="0.25">
      <c r="J45" s="39"/>
      <c r="K45" s="39"/>
    </row>
    <row r="46" spans="10:11" x14ac:dyDescent="0.25">
      <c r="J46" s="39" t="str">
        <f>IF(E46="", "", IFERROR(VLOOKUP(IFERROR(VLOOKUP(SUBSTITUTE(E46,"DS ","")&amp;F46, wilayahfix!$A:$D, 2, 0), ""), user!$B:$D, 2, 0), "TIDAK KETEMU"))</f>
        <v/>
      </c>
      <c r="K46" s="39" t="str">
        <f>IF(E46="", "", IFERROR(VLOOKUP(IFERROR(VLOOKUP(SUBSTITUTE(E46,"DS ","")&amp;F46, wilayahfix!$A:$D, 2, 0), ""), user!$B:$D, 3, 0), ""))</f>
        <v/>
      </c>
    </row>
    <row r="47" spans="10:11" x14ac:dyDescent="0.25">
      <c r="J47" s="39"/>
      <c r="K47" s="39"/>
    </row>
    <row r="48" spans="10:11" x14ac:dyDescent="0.25">
      <c r="J48" s="39" t="str">
        <f>IF(E48="", "", IFERROR(VLOOKUP(IFERROR(VLOOKUP(SUBSTITUTE(E48,"DS ","")&amp;F48, wilayahfix!$A:$D, 2, 0), ""), user!$B:$D, 2, 0), "TIDAK KETEMU"))</f>
        <v/>
      </c>
      <c r="K48" s="39" t="str">
        <f>IF(E48="", "", IFERROR(VLOOKUP(IFERROR(VLOOKUP(SUBSTITUTE(E48,"DS ","")&amp;F48, wilayahfix!$A:$D, 2, 0), ""), user!$B:$D, 3, 0), ""))</f>
        <v/>
      </c>
    </row>
    <row r="49" spans="10:11" x14ac:dyDescent="0.25">
      <c r="J49" s="39"/>
      <c r="K49" s="39"/>
    </row>
    <row r="50" spans="10:11" x14ac:dyDescent="0.25">
      <c r="J50" s="39" t="str">
        <f>IF(E50="", "", IFERROR(VLOOKUP(IFERROR(VLOOKUP(SUBSTITUTE(E50,"DS ","")&amp;F50, wilayahfix!$A:$D, 2, 0), ""), user!$B:$D, 2, 0), "TIDAK KETEMU"))</f>
        <v/>
      </c>
      <c r="K50" s="39" t="str">
        <f>IF(E50="", "", IFERROR(VLOOKUP(IFERROR(VLOOKUP(SUBSTITUTE(E50,"DS ","")&amp;F50, wilayahfix!$A:$D, 2, 0), ""), user!$B:$D, 3, 0), ""))</f>
        <v/>
      </c>
    </row>
    <row r="51" spans="10:11" x14ac:dyDescent="0.25">
      <c r="J51" s="39"/>
      <c r="K51" s="39"/>
    </row>
    <row r="52" spans="10:11" x14ac:dyDescent="0.25">
      <c r="J52" s="39" t="str">
        <f>IF(E52="", "", IFERROR(VLOOKUP(IFERROR(VLOOKUP(SUBSTITUTE(E52,"DS ","")&amp;F52, wilayahfix!$A:$D, 2, 0), ""), user!$B:$D, 2, 0), "TIDAK KETEMU"))</f>
        <v/>
      </c>
      <c r="K52" s="39" t="str">
        <f>IF(E52="", "", IFERROR(VLOOKUP(IFERROR(VLOOKUP(SUBSTITUTE(E52,"DS ","")&amp;F52, wilayahfix!$A:$D, 2, 0), ""), user!$B:$D, 3, 0), ""))</f>
        <v/>
      </c>
    </row>
    <row r="53" spans="10:11" x14ac:dyDescent="0.25">
      <c r="J53" s="39"/>
      <c r="K53" s="39"/>
    </row>
    <row r="54" spans="10:11" x14ac:dyDescent="0.25">
      <c r="J54" s="39" t="str">
        <f>IF(E54="", "", IFERROR(VLOOKUP(IFERROR(VLOOKUP(SUBSTITUTE(E54,"DS ","")&amp;F54, wilayahfix!$A:$D, 2, 0), ""), user!$B:$D, 2, 0), "TIDAK KETEMU"))</f>
        <v/>
      </c>
      <c r="K54" s="39" t="str">
        <f>IF(E54="", "", IFERROR(VLOOKUP(IFERROR(VLOOKUP(SUBSTITUTE(E54,"DS ","")&amp;F54, wilayahfix!$A:$D, 2, 0), ""), user!$B:$D, 3, 0), ""))</f>
        <v/>
      </c>
    </row>
    <row r="55" spans="10:11" x14ac:dyDescent="0.25">
      <c r="J55" s="39"/>
      <c r="K55" s="39"/>
    </row>
    <row r="56" spans="10:11" x14ac:dyDescent="0.25">
      <c r="J56" s="39" t="str">
        <f>IF(E56="", "", IFERROR(VLOOKUP(IFERROR(VLOOKUP(SUBSTITUTE(E56,"DS ","")&amp;F56, wilayahfix!$A:$D, 2, 0), ""), user!$B:$D, 2, 0), "TIDAK KETEMU"))</f>
        <v/>
      </c>
      <c r="K56" s="39" t="str">
        <f>IF(E56="", "", IFERROR(VLOOKUP(IFERROR(VLOOKUP(SUBSTITUTE(E56,"DS ","")&amp;F56, wilayahfix!$A:$D, 2, 0), ""), user!$B:$D, 3, 0), ""))</f>
        <v/>
      </c>
    </row>
    <row r="57" spans="10:11" x14ac:dyDescent="0.25">
      <c r="J57" s="39"/>
      <c r="K57" s="39"/>
    </row>
    <row r="58" spans="10:11" x14ac:dyDescent="0.25">
      <c r="J58" s="39" t="str">
        <f>IF(E58="", "", IFERROR(VLOOKUP(IFERROR(VLOOKUP(SUBSTITUTE(E58,"DS ","")&amp;F58, wilayahfix!$A:$D, 2, 0), ""), user!$B:$D, 2, 0), "TIDAK KETEMU"))</f>
        <v/>
      </c>
      <c r="K58" s="39" t="str">
        <f>IF(E58="", "", IFERROR(VLOOKUP(IFERROR(VLOOKUP(SUBSTITUTE(E58,"DS ","")&amp;F58, wilayahfix!$A:$D, 2, 0), ""), user!$B:$D, 3, 0), ""))</f>
        <v/>
      </c>
    </row>
    <row r="59" spans="10:11" x14ac:dyDescent="0.25">
      <c r="J59" s="39"/>
      <c r="K59" s="39"/>
    </row>
    <row r="60" spans="10:11" x14ac:dyDescent="0.25">
      <c r="J60" s="39" t="str">
        <f>IF(E60="", "", IFERROR(VLOOKUP(IFERROR(VLOOKUP(SUBSTITUTE(E60,"DS ","")&amp;F60, wilayahfix!$A:$D, 2, 0), ""), user!$B:$D, 2, 0), "TIDAK KETEMU"))</f>
        <v/>
      </c>
      <c r="K60" s="39" t="str">
        <f>IF(E60="", "", IFERROR(VLOOKUP(IFERROR(VLOOKUP(SUBSTITUTE(E60,"DS ","")&amp;F60, wilayahfix!$A:$D, 2, 0), ""), user!$B:$D, 3, 0), ""))</f>
        <v/>
      </c>
    </row>
    <row r="61" spans="10:11" x14ac:dyDescent="0.25">
      <c r="J61" s="39"/>
      <c r="K61" s="39"/>
    </row>
    <row r="62" spans="10:11" x14ac:dyDescent="0.25">
      <c r="J62" s="39" t="str">
        <f>IF(E62="", "", IFERROR(VLOOKUP(IFERROR(VLOOKUP(SUBSTITUTE(E62,"DS ","")&amp;F62, wilayahfix!$A:$D, 2, 0), ""), user!$B:$D, 2, 0), "TIDAK KETEMU"))</f>
        <v/>
      </c>
      <c r="K62" s="39" t="str">
        <f>IF(E62="", "", IFERROR(VLOOKUP(IFERROR(VLOOKUP(SUBSTITUTE(E62,"DS ","")&amp;F62, wilayahfix!$A:$D, 2, 0), ""), user!$B:$D, 3, 0), ""))</f>
        <v/>
      </c>
    </row>
    <row r="63" spans="10:11" x14ac:dyDescent="0.25">
      <c r="J63" s="39"/>
      <c r="K63" s="39"/>
    </row>
    <row r="64" spans="10:11" x14ac:dyDescent="0.25">
      <c r="J64" s="39" t="str">
        <f>IF(E64="", "", IFERROR(VLOOKUP(IFERROR(VLOOKUP(SUBSTITUTE(E64,"DS ","")&amp;F64, wilayahfix!$A:$D, 2, 0), ""), user!$B:$D, 2, 0), "TIDAK KETEMU"))</f>
        <v/>
      </c>
      <c r="K64" s="39" t="str">
        <f>IF(E64="", "", IFERROR(VLOOKUP(IFERROR(VLOOKUP(SUBSTITUTE(E64,"DS ","")&amp;F64, wilayahfix!$A:$D, 2, 0), ""), user!$B:$D, 3, 0), ""))</f>
        <v/>
      </c>
    </row>
    <row r="65" spans="10:11" x14ac:dyDescent="0.25">
      <c r="J65" s="39"/>
      <c r="K65" s="39"/>
    </row>
    <row r="66" spans="10:11" x14ac:dyDescent="0.25">
      <c r="J66" s="39" t="str">
        <f>IF(E66="", "", IFERROR(VLOOKUP(IFERROR(VLOOKUP(SUBSTITUTE(E66,"DS ","")&amp;F66, wilayahfix!$A:$D, 2, 0), ""), user!$B:$D, 2, 0), "TIDAK KETEMU"))</f>
        <v/>
      </c>
      <c r="K66" s="39" t="str">
        <f>IF(E66="", "", IFERROR(VLOOKUP(IFERROR(VLOOKUP(SUBSTITUTE(E66,"DS ","")&amp;F66, wilayahfix!$A:$D, 2, 0), ""), user!$B:$D, 3, 0), ""))</f>
        <v/>
      </c>
    </row>
    <row r="67" spans="10:11" x14ac:dyDescent="0.25">
      <c r="J67" s="39"/>
      <c r="K67" s="39"/>
    </row>
    <row r="68" spans="10:11" x14ac:dyDescent="0.25">
      <c r="J68" s="39" t="str">
        <f>IF(E68="", "", IFERROR(VLOOKUP(IFERROR(VLOOKUP(SUBSTITUTE(E68,"DS ","")&amp;F68, wilayahfix!$A:$D, 2, 0), ""), user!$B:$D, 2, 0), "TIDAK KETEMU"))</f>
        <v/>
      </c>
      <c r="K68" s="39" t="str">
        <f>IF(E68="", "", IFERROR(VLOOKUP(IFERROR(VLOOKUP(SUBSTITUTE(E68,"DS ","")&amp;F68, wilayahfix!$A:$D, 2, 0), ""), user!$B:$D, 3, 0), ""))</f>
        <v/>
      </c>
    </row>
    <row r="69" spans="10:11" x14ac:dyDescent="0.25">
      <c r="J69" s="39"/>
      <c r="K69" s="39"/>
    </row>
    <row r="70" spans="10:11" x14ac:dyDescent="0.25">
      <c r="J70" s="39" t="str">
        <f>IF(E70="", "", IFERROR(VLOOKUP(IFERROR(VLOOKUP(SUBSTITUTE(E70,"DS ","")&amp;F70, wilayahfix!$A:$D, 2, 0), ""), user!$B:$D, 2, 0), "TIDAK KETEMU"))</f>
        <v/>
      </c>
      <c r="K70" s="39" t="str">
        <f>IF(E70="", "", IFERROR(VLOOKUP(IFERROR(VLOOKUP(SUBSTITUTE(E70,"DS ","")&amp;F70, wilayahfix!$A:$D, 2, 0), ""), user!$B:$D, 3, 0), ""))</f>
        <v/>
      </c>
    </row>
    <row r="71" spans="10:11" x14ac:dyDescent="0.25">
      <c r="J71" s="39"/>
      <c r="K71" s="39"/>
    </row>
    <row r="72" spans="10:11" x14ac:dyDescent="0.25">
      <c r="J72" s="39" t="str">
        <f>IF(E72="", "", IFERROR(VLOOKUP(IFERROR(VLOOKUP(SUBSTITUTE(E72,"DS ","")&amp;F72, wilayahfix!$A:$D, 2, 0), ""), user!$B:$D, 2, 0), "TIDAK KETEMU"))</f>
        <v/>
      </c>
      <c r="K72" s="39" t="str">
        <f>IF(E72="", "", IFERROR(VLOOKUP(IFERROR(VLOOKUP(SUBSTITUTE(E72,"DS ","")&amp;F72, wilayahfix!$A:$D, 2, 0), ""), user!$B:$D, 3, 0), ""))</f>
        <v/>
      </c>
    </row>
    <row r="73" spans="10:11" x14ac:dyDescent="0.25">
      <c r="J73" s="39"/>
      <c r="K73" s="39"/>
    </row>
    <row r="74" spans="10:11" x14ac:dyDescent="0.25">
      <c r="J74" s="39" t="str">
        <f>IF(E74="", "", IFERROR(VLOOKUP(IFERROR(VLOOKUP(SUBSTITUTE(E74,"DS ","")&amp;F74, wilayahfix!$A:$D, 2, 0), ""), user!$B:$D, 2, 0), "TIDAK KETEMU"))</f>
        <v/>
      </c>
      <c r="K74" s="39" t="str">
        <f>IF(E74="", "", IFERROR(VLOOKUP(IFERROR(VLOOKUP(SUBSTITUTE(E74,"DS ","")&amp;F74, wilayahfix!$A:$D, 2, 0), ""), user!$B:$D, 3, 0), ""))</f>
        <v/>
      </c>
    </row>
    <row r="75" spans="10:11" x14ac:dyDescent="0.25">
      <c r="J75" s="39"/>
      <c r="K75" s="39"/>
    </row>
    <row r="76" spans="10:11" x14ac:dyDescent="0.25">
      <c r="J76" s="39" t="str">
        <f>IF(E76="", "", IFERROR(VLOOKUP(IFERROR(VLOOKUP(SUBSTITUTE(E76,"DS ","")&amp;F76, wilayahfix!$A:$D, 2, 0), ""), user!$B:$D, 2, 0), "TIDAK KETEMU"))</f>
        <v/>
      </c>
      <c r="K76" s="39" t="str">
        <f>IF(E76="", "", IFERROR(VLOOKUP(IFERROR(VLOOKUP(SUBSTITUTE(E76,"DS ","")&amp;F76, wilayahfix!$A:$D, 2, 0), ""), user!$B:$D, 3, 0), ""))</f>
        <v/>
      </c>
    </row>
    <row r="77" spans="10:11" x14ac:dyDescent="0.25">
      <c r="J77" s="39"/>
      <c r="K77" s="39"/>
    </row>
    <row r="78" spans="10:11" x14ac:dyDescent="0.25">
      <c r="J78" s="39" t="str">
        <f>IF(E78="", "", IFERROR(VLOOKUP(IFERROR(VLOOKUP(SUBSTITUTE(E78,"DS ","")&amp;F78, wilayahfix!$A:$D, 2, 0), ""), user!$B:$D, 2, 0), "TIDAK KETEMU"))</f>
        <v/>
      </c>
      <c r="K78" s="39" t="str">
        <f>IF(E78="", "", IFERROR(VLOOKUP(IFERROR(VLOOKUP(SUBSTITUTE(E78,"DS ","")&amp;F78, wilayahfix!$A:$D, 2, 0), ""), user!$B:$D, 3, 0), ""))</f>
        <v/>
      </c>
    </row>
    <row r="79" spans="10:11" x14ac:dyDescent="0.25">
      <c r="J79" s="39"/>
      <c r="K79" s="39"/>
    </row>
    <row r="80" spans="10:11" x14ac:dyDescent="0.25">
      <c r="J80" s="39" t="str">
        <f>IF(E80="", "", IFERROR(VLOOKUP(IFERROR(VLOOKUP(SUBSTITUTE(E80,"DS ","")&amp;F80, wilayahfix!$A:$D, 2, 0), ""), user!$B:$D, 2, 0), "TIDAK KETEMU"))</f>
        <v/>
      </c>
      <c r="K80" s="39" t="str">
        <f>IF(E80="", "", IFERROR(VLOOKUP(IFERROR(VLOOKUP(SUBSTITUTE(E80,"DS ","")&amp;F80, wilayahfix!$A:$D, 2, 0), ""), user!$B:$D, 3, 0), ""))</f>
        <v/>
      </c>
    </row>
    <row r="81" spans="10:11" x14ac:dyDescent="0.25">
      <c r="J81" s="39"/>
      <c r="K81" s="39"/>
    </row>
    <row r="82" spans="10:11" x14ac:dyDescent="0.25">
      <c r="J82" s="39" t="str">
        <f>IF(E82="", "", IFERROR(VLOOKUP(IFERROR(VLOOKUP(SUBSTITUTE(E82,"DS ","")&amp;F82, wilayahfix!$A:$D, 2, 0), ""), user!$B:$D, 2, 0), "TIDAK KETEMU"))</f>
        <v/>
      </c>
      <c r="K82" s="39" t="str">
        <f>IF(E82="", "", IFERROR(VLOOKUP(IFERROR(VLOOKUP(SUBSTITUTE(E82,"DS ","")&amp;F82, wilayahfix!$A:$D, 2, 0), ""), user!$B:$D, 3, 0), ""))</f>
        <v/>
      </c>
    </row>
    <row r="83" spans="10:11" x14ac:dyDescent="0.25">
      <c r="J83" s="39"/>
      <c r="K83" s="39"/>
    </row>
    <row r="84" spans="10:11" x14ac:dyDescent="0.25">
      <c r="J84" s="39" t="str">
        <f>IF(E84="", "", IFERROR(VLOOKUP(IFERROR(VLOOKUP(SUBSTITUTE(E84,"DS ","")&amp;F84, wilayahfix!$A:$D, 2, 0), ""), user!$B:$D, 2, 0), "TIDAK KETEMU"))</f>
        <v/>
      </c>
      <c r="K84" s="39" t="str">
        <f>IF(E84="", "", IFERROR(VLOOKUP(IFERROR(VLOOKUP(SUBSTITUTE(E84,"DS ","")&amp;F84, wilayahfix!$A:$D, 2, 0), ""), user!$B:$D, 3, 0), ""))</f>
        <v/>
      </c>
    </row>
    <row r="85" spans="10:11" x14ac:dyDescent="0.25">
      <c r="J85" s="39"/>
      <c r="K85" s="39"/>
    </row>
    <row r="86" spans="10:11" x14ac:dyDescent="0.25">
      <c r="J86" s="39" t="str">
        <f>IF(E86="", "", IFERROR(VLOOKUP(IFERROR(VLOOKUP(SUBSTITUTE(E86,"DS ","")&amp;F86, wilayahfix!$A:$D, 2, 0), ""), user!$B:$D, 2, 0), "TIDAK KETEMU"))</f>
        <v/>
      </c>
      <c r="K86" s="39" t="str">
        <f>IF(E86="", "", IFERROR(VLOOKUP(IFERROR(VLOOKUP(SUBSTITUTE(E86,"DS ","")&amp;F86, wilayahfix!$A:$D, 2, 0), ""), user!$B:$D, 3, 0), ""))</f>
        <v/>
      </c>
    </row>
    <row r="87" spans="10:11" x14ac:dyDescent="0.25">
      <c r="J87" s="39"/>
      <c r="K87" s="39"/>
    </row>
    <row r="88" spans="10:11" x14ac:dyDescent="0.25">
      <c r="J88" s="39" t="str">
        <f>IF(E88="", "", IFERROR(VLOOKUP(IFERROR(VLOOKUP(SUBSTITUTE(E88,"DS ","")&amp;F88, wilayahfix!$A:$D, 2, 0), ""), user!$B:$D, 2, 0), "TIDAK KETEMU"))</f>
        <v/>
      </c>
      <c r="K88" s="39" t="str">
        <f>IF(E88="", "", IFERROR(VLOOKUP(IFERROR(VLOOKUP(SUBSTITUTE(E88,"DS ","")&amp;F88, wilayahfix!$A:$D, 2, 0), ""), user!$B:$D, 3, 0), ""))</f>
        <v/>
      </c>
    </row>
    <row r="89" spans="10:11" x14ac:dyDescent="0.25">
      <c r="J89" s="39"/>
      <c r="K89" s="39"/>
    </row>
    <row r="90" spans="10:11" x14ac:dyDescent="0.25">
      <c r="J90" s="39" t="str">
        <f>IF(E90="", "", IFERROR(VLOOKUP(IFERROR(VLOOKUP(SUBSTITUTE(E90,"DS ","")&amp;F90, wilayahfix!$A:$D, 2, 0), ""), user!$B:$D, 2, 0), "TIDAK KETEMU"))</f>
        <v/>
      </c>
      <c r="K90" s="39" t="str">
        <f>IF(E90="", "", IFERROR(VLOOKUP(IFERROR(VLOOKUP(SUBSTITUTE(E90,"DS ","")&amp;F90, wilayahfix!$A:$D, 2, 0), ""), user!$B:$D, 3, 0), ""))</f>
        <v/>
      </c>
    </row>
    <row r="91" spans="10:11" x14ac:dyDescent="0.25">
      <c r="J91" s="39"/>
      <c r="K91" s="39"/>
    </row>
    <row r="92" spans="10:11" x14ac:dyDescent="0.25">
      <c r="J92" s="39" t="str">
        <f>IF(E92="", "", IFERROR(VLOOKUP(IFERROR(VLOOKUP(SUBSTITUTE(E92,"DS ","")&amp;F92, wilayahfix!$A:$D, 2, 0), ""), user!$B:$D, 2, 0), "TIDAK KETEMU"))</f>
        <v/>
      </c>
      <c r="K92" s="39" t="str">
        <f>IF(E92="", "", IFERROR(VLOOKUP(IFERROR(VLOOKUP(SUBSTITUTE(E92,"DS ","")&amp;F92, wilayahfix!$A:$D, 2, 0), ""), user!$B:$D, 3, 0), ""))</f>
        <v/>
      </c>
    </row>
    <row r="93" spans="10:11" x14ac:dyDescent="0.25">
      <c r="J93" s="39"/>
      <c r="K93" s="39"/>
    </row>
    <row r="94" spans="10:11" x14ac:dyDescent="0.25">
      <c r="J94" s="39" t="str">
        <f>IF(E94="", "", IFERROR(VLOOKUP(IFERROR(VLOOKUP(SUBSTITUTE(E94,"DS ","")&amp;F94, wilayahfix!$A:$D, 2, 0), ""), user!$B:$D, 2, 0), "TIDAK KETEMU"))</f>
        <v/>
      </c>
      <c r="K94" s="39" t="str">
        <f>IF(E94="", "", IFERROR(VLOOKUP(IFERROR(VLOOKUP(SUBSTITUTE(E94,"DS ","")&amp;F94, wilayahfix!$A:$D, 2, 0), ""), user!$B:$D, 3, 0), ""))</f>
        <v/>
      </c>
    </row>
    <row r="95" spans="10:11" x14ac:dyDescent="0.25">
      <c r="J95" s="39"/>
      <c r="K95" s="39"/>
    </row>
    <row r="96" spans="10:11" x14ac:dyDescent="0.25">
      <c r="J96" s="39" t="str">
        <f>IF(E96="", "", IFERROR(VLOOKUP(IFERROR(VLOOKUP(SUBSTITUTE(E96,"DS ","")&amp;F96, wilayahfix!$A:$D, 2, 0), ""), user!$B:$D, 2, 0), "TIDAK KETEMU"))</f>
        <v/>
      </c>
      <c r="K96" s="39" t="str">
        <f>IF(E96="", "", IFERROR(VLOOKUP(IFERROR(VLOOKUP(SUBSTITUTE(E96,"DS ","")&amp;F96, wilayahfix!$A:$D, 2, 0), ""), user!$B:$D, 3, 0), ""))</f>
        <v/>
      </c>
    </row>
    <row r="97" spans="10:11" x14ac:dyDescent="0.25">
      <c r="J97" s="39"/>
      <c r="K97" s="39"/>
    </row>
    <row r="98" spans="10:11" x14ac:dyDescent="0.25">
      <c r="J98" s="39" t="str">
        <f>IF(E98="", "", IFERROR(VLOOKUP(IFERROR(VLOOKUP(SUBSTITUTE(E98,"DS ","")&amp;F98, wilayahfix!$A:$D, 2, 0), ""), user!$B:$D, 2, 0), "TIDAK KETEMU"))</f>
        <v/>
      </c>
      <c r="K98" s="39" t="str">
        <f>IF(E98="", "", IFERROR(VLOOKUP(IFERROR(VLOOKUP(SUBSTITUTE(E98,"DS ","")&amp;F98, wilayahfix!$A:$D, 2, 0), ""), user!$B:$D, 3, 0), ""))</f>
        <v/>
      </c>
    </row>
    <row r="99" spans="10:11" x14ac:dyDescent="0.25">
      <c r="J99" s="39"/>
      <c r="K99" s="39"/>
    </row>
    <row r="100" spans="10:11" x14ac:dyDescent="0.25">
      <c r="J100" s="39" t="str">
        <f>IF(E100="", "", IFERROR(VLOOKUP(IFERROR(VLOOKUP(SUBSTITUTE(E100,"DS ","")&amp;F100, wilayahfix!$A:$D, 2, 0), ""), user!$B:$D, 2, 0), "TIDAK KETEMU"))</f>
        <v/>
      </c>
      <c r="K100" s="39" t="str">
        <f>IF(E100="", "", IFERROR(VLOOKUP(IFERROR(VLOOKUP(SUBSTITUTE(E100,"DS ","")&amp;F100, wilayahfix!$A:$D, 2, 0), ""), user!$B:$D, 3, 0), ""))</f>
        <v/>
      </c>
    </row>
    <row r="101" spans="10:11" x14ac:dyDescent="0.25">
      <c r="J101" s="39"/>
      <c r="K101" s="39"/>
    </row>
    <row r="102" spans="10:11" x14ac:dyDescent="0.25">
      <c r="J102" s="39" t="str">
        <f>IF(E102="", "", IFERROR(VLOOKUP(IFERROR(VLOOKUP(SUBSTITUTE(E102,"DS ","")&amp;F102, wilayahfix!$A:$D, 2, 0), ""), user!$B:$D, 2, 0), "TIDAK KETEMU"))</f>
        <v/>
      </c>
      <c r="K102" s="39" t="str">
        <f>IF(E102="", "", IFERROR(VLOOKUP(IFERROR(VLOOKUP(SUBSTITUTE(E102,"DS ","")&amp;F102, wilayahfix!$A:$D, 2, 0), ""), user!$B:$D, 3, 0), ""))</f>
        <v/>
      </c>
    </row>
    <row r="103" spans="10:11" x14ac:dyDescent="0.25">
      <c r="J103" s="39"/>
      <c r="K103" s="39"/>
    </row>
    <row r="104" spans="10:11" x14ac:dyDescent="0.25">
      <c r="J104" s="39" t="str">
        <f>IF(E104="", "", IFERROR(VLOOKUP(IFERROR(VLOOKUP(SUBSTITUTE(E104,"DS ","")&amp;F104, wilayahfix!$A:$D, 2, 0), ""), user!$B:$D, 2, 0), "TIDAK KETEMU"))</f>
        <v/>
      </c>
      <c r="K104" s="39" t="str">
        <f>IF(E104="", "", IFERROR(VLOOKUP(IFERROR(VLOOKUP(SUBSTITUTE(E104,"DS ","")&amp;F104, wilayahfix!$A:$D, 2, 0), ""), user!$B:$D, 3, 0), ""))</f>
        <v/>
      </c>
    </row>
    <row r="105" spans="10:11" x14ac:dyDescent="0.25">
      <c r="J105" s="39"/>
      <c r="K105" s="39"/>
    </row>
    <row r="106" spans="10:11" x14ac:dyDescent="0.25">
      <c r="J106" s="39" t="str">
        <f>IF(E106="", "", IFERROR(VLOOKUP(IFERROR(VLOOKUP(SUBSTITUTE(E106,"DS ","")&amp;F106, wilayahfix!$A:$D, 2, 0), ""), user!$B:$D, 2, 0), "TIDAK KETEMU"))</f>
        <v/>
      </c>
      <c r="K106" s="39" t="str">
        <f>IF(E106="", "", IFERROR(VLOOKUP(IFERROR(VLOOKUP(SUBSTITUTE(E106,"DS ","")&amp;F106, wilayahfix!$A:$D, 2, 0), ""), user!$B:$D, 3, 0), ""))</f>
        <v/>
      </c>
    </row>
    <row r="107" spans="10:11" x14ac:dyDescent="0.25">
      <c r="J107" s="39"/>
      <c r="K107" s="39"/>
    </row>
    <row r="108" spans="10:11" x14ac:dyDescent="0.25">
      <c r="J108" s="39" t="str">
        <f>IF(E108="", "", IFERROR(VLOOKUP(IFERROR(VLOOKUP(SUBSTITUTE(E108,"DS ","")&amp;F108, wilayahfix!$A:$D, 2, 0), ""), user!$B:$D, 2, 0), "TIDAK KETEMU"))</f>
        <v/>
      </c>
      <c r="K108" s="39" t="str">
        <f>IF(E108="", "", IFERROR(VLOOKUP(IFERROR(VLOOKUP(SUBSTITUTE(E108,"DS ","")&amp;F108, wilayahfix!$A:$D, 2, 0), ""), user!$B:$D, 3, 0), ""))</f>
        <v/>
      </c>
    </row>
    <row r="109" spans="10:11" x14ac:dyDescent="0.25">
      <c r="J109" s="39"/>
      <c r="K109" s="39"/>
    </row>
    <row r="110" spans="10:11" x14ac:dyDescent="0.25">
      <c r="J110" s="39" t="str">
        <f>IF(E110="", "", IFERROR(VLOOKUP(IFERROR(VLOOKUP(SUBSTITUTE(E110,"DS ","")&amp;F110, wilayahfix!$A:$D, 2, 0), ""), user!$B:$D, 2, 0), "TIDAK KETEMU"))</f>
        <v/>
      </c>
      <c r="K110" s="39" t="str">
        <f>IF(E110="", "", IFERROR(VLOOKUP(IFERROR(VLOOKUP(SUBSTITUTE(E110,"DS ","")&amp;F110, wilayahfix!$A:$D, 2, 0), ""), user!$B:$D, 3, 0), ""))</f>
        <v/>
      </c>
    </row>
    <row r="111" spans="10:11" x14ac:dyDescent="0.25">
      <c r="J111" s="39"/>
      <c r="K111" s="39"/>
    </row>
    <row r="112" spans="10:11" x14ac:dyDescent="0.25">
      <c r="J112" s="39" t="str">
        <f>IF(E112="", "", IFERROR(VLOOKUP(IFERROR(VLOOKUP(SUBSTITUTE(E112,"DS ","")&amp;F112, wilayahfix!$A:$D, 2, 0), ""), user!$B:$D, 2, 0), "TIDAK KETEMU"))</f>
        <v/>
      </c>
      <c r="K112" s="39" t="str">
        <f>IF(E112="", "", IFERROR(VLOOKUP(IFERROR(VLOOKUP(SUBSTITUTE(E112,"DS ","")&amp;F112, wilayahfix!$A:$D, 2, 0), ""), user!$B:$D, 3, 0), ""))</f>
        <v/>
      </c>
    </row>
    <row r="113" spans="10:11" x14ac:dyDescent="0.25">
      <c r="J113" s="39"/>
      <c r="K113" s="39"/>
    </row>
    <row r="114" spans="10:11" x14ac:dyDescent="0.25">
      <c r="J114" s="39" t="str">
        <f>IF(E114="", "", IFERROR(VLOOKUP(IFERROR(VLOOKUP(SUBSTITUTE(E114,"DS ","")&amp;F114, wilayahfix!$A:$D, 2, 0), ""), user!$B:$D, 2, 0), "TIDAK KETEMU"))</f>
        <v/>
      </c>
      <c r="K114" s="39" t="str">
        <f>IF(E114="", "", IFERROR(VLOOKUP(IFERROR(VLOOKUP(SUBSTITUTE(E114,"DS ","")&amp;F114, wilayahfix!$A:$D, 2, 0), ""), user!$B:$D, 3, 0), ""))</f>
        <v/>
      </c>
    </row>
    <row r="115" spans="10:11" x14ac:dyDescent="0.25">
      <c r="J115" s="39"/>
      <c r="K115" s="39"/>
    </row>
    <row r="116" spans="10:11" x14ac:dyDescent="0.25">
      <c r="J116" s="39" t="str">
        <f>IF(E116="", "", IFERROR(VLOOKUP(IFERROR(VLOOKUP(SUBSTITUTE(E116,"DS ","")&amp;F116, wilayahfix!$A:$D, 2, 0), ""), user!$B:$D, 2, 0), "TIDAK KETEMU"))</f>
        <v/>
      </c>
      <c r="K116" s="39" t="str">
        <f>IF(E116="", "", IFERROR(VLOOKUP(IFERROR(VLOOKUP(SUBSTITUTE(E116,"DS ","")&amp;F116, wilayahfix!$A:$D, 2, 0), ""), user!$B:$D, 3, 0), ""))</f>
        <v/>
      </c>
    </row>
    <row r="117" spans="10:11" x14ac:dyDescent="0.25">
      <c r="J117" s="39"/>
      <c r="K117" s="39"/>
    </row>
    <row r="118" spans="10:11" x14ac:dyDescent="0.25">
      <c r="J118" s="39" t="str">
        <f>IF(E118="", "", IFERROR(VLOOKUP(IFERROR(VLOOKUP(SUBSTITUTE(E118,"DS ","")&amp;F118, wilayahfix!$A:$D, 2, 0), ""), user!$B:$D, 2, 0), "TIDAK KETEMU"))</f>
        <v/>
      </c>
      <c r="K118" s="39" t="str">
        <f>IF(E118="", "", IFERROR(VLOOKUP(IFERROR(VLOOKUP(SUBSTITUTE(E118,"DS ","")&amp;F118, wilayahfix!$A:$D, 2, 0), ""), user!$B:$D, 3, 0), ""))</f>
        <v/>
      </c>
    </row>
    <row r="119" spans="10:11" x14ac:dyDescent="0.25">
      <c r="J119" s="39"/>
      <c r="K119" s="39"/>
    </row>
    <row r="120" spans="10:11" x14ac:dyDescent="0.25">
      <c r="J120" s="39" t="str">
        <f>IF(E120="", "", IFERROR(VLOOKUP(IFERROR(VLOOKUP(SUBSTITUTE(E120,"DS ","")&amp;F120, wilayahfix!$A:$D, 2, 0), ""), user!$B:$D, 2, 0), "TIDAK KETEMU"))</f>
        <v/>
      </c>
      <c r="K120" s="39" t="str">
        <f>IF(E120="", "", IFERROR(VLOOKUP(IFERROR(VLOOKUP(SUBSTITUTE(E120,"DS ","")&amp;F120, wilayahfix!$A:$D, 2, 0), ""), user!$B:$D, 3, 0), ""))</f>
        <v/>
      </c>
    </row>
    <row r="121" spans="10:11" x14ac:dyDescent="0.25">
      <c r="J121" s="39"/>
      <c r="K121" s="39"/>
    </row>
    <row r="122" spans="10:11" x14ac:dyDescent="0.25">
      <c r="J122" s="39" t="str">
        <f>IF(E122="", "", IFERROR(VLOOKUP(IFERROR(VLOOKUP(SUBSTITUTE(E122,"DS ","")&amp;F122, wilayahfix!$A:$D, 2, 0), ""), user!$B:$D, 2, 0), "TIDAK KETEMU"))</f>
        <v/>
      </c>
      <c r="K122" s="39" t="str">
        <f>IF(E122="", "", IFERROR(VLOOKUP(IFERROR(VLOOKUP(SUBSTITUTE(E122,"DS ","")&amp;F122, wilayahfix!$A:$D, 2, 0), ""), user!$B:$D, 3, 0), ""))</f>
        <v/>
      </c>
    </row>
    <row r="123" spans="10:11" x14ac:dyDescent="0.25">
      <c r="J123" s="39"/>
      <c r="K123" s="39"/>
    </row>
    <row r="124" spans="10:11" x14ac:dyDescent="0.25">
      <c r="J124" s="39" t="str">
        <f>IF(E124="", "", IFERROR(VLOOKUP(IFERROR(VLOOKUP(SUBSTITUTE(E124,"DS ","")&amp;F124, wilayahfix!$A:$D, 2, 0), ""), user!$B:$D, 2, 0), "TIDAK KETEMU"))</f>
        <v/>
      </c>
      <c r="K124" s="39" t="str">
        <f>IF(E124="", "", IFERROR(VLOOKUP(IFERROR(VLOOKUP(SUBSTITUTE(E124,"DS ","")&amp;F124, wilayahfix!$A:$D, 2, 0), ""), user!$B:$D, 3, 0), ""))</f>
        <v/>
      </c>
    </row>
    <row r="125" spans="10:11" x14ac:dyDescent="0.25">
      <c r="J125" s="39"/>
      <c r="K125" s="39"/>
    </row>
    <row r="126" spans="10:11" x14ac:dyDescent="0.25">
      <c r="J126" s="39" t="str">
        <f>IF(E126="", "", IFERROR(VLOOKUP(IFERROR(VLOOKUP(SUBSTITUTE(E126,"DS ","")&amp;F126, wilayahfix!$A:$D, 2, 0), ""), user!$B:$D, 2, 0), "TIDAK KETEMU"))</f>
        <v/>
      </c>
      <c r="K126" s="39" t="str">
        <f>IF(E126="", "", IFERROR(VLOOKUP(IFERROR(VLOOKUP(SUBSTITUTE(E126,"DS ","")&amp;F126, wilayahfix!$A:$D, 2, 0), ""), user!$B:$D, 3, 0), ""))</f>
        <v/>
      </c>
    </row>
    <row r="127" spans="10:11" x14ac:dyDescent="0.25">
      <c r="J127" s="39"/>
      <c r="K127" s="39"/>
    </row>
    <row r="128" spans="10:11" x14ac:dyDescent="0.25">
      <c r="J128" s="39" t="str">
        <f>IF(E128="", "", IFERROR(VLOOKUP(IFERROR(VLOOKUP(SUBSTITUTE(E128,"DS ","")&amp;F128, wilayahfix!$A:$D, 2, 0), ""), user!$B:$D, 2, 0), "TIDAK KETEMU"))</f>
        <v/>
      </c>
      <c r="K128" s="39" t="str">
        <f>IF(E128="", "", IFERROR(VLOOKUP(IFERROR(VLOOKUP(SUBSTITUTE(E128,"DS ","")&amp;F128, wilayahfix!$A:$D, 2, 0), ""), user!$B:$D, 3, 0), ""))</f>
        <v/>
      </c>
    </row>
    <row r="129" spans="10:11" x14ac:dyDescent="0.25">
      <c r="J129" s="39"/>
      <c r="K129" s="39"/>
    </row>
    <row r="130" spans="10:11" x14ac:dyDescent="0.25">
      <c r="J130" s="39" t="str">
        <f>IF(E130="", "", IFERROR(VLOOKUP(IFERROR(VLOOKUP(SUBSTITUTE(E130,"DS ","")&amp;F130, wilayahfix!$A:$D, 2, 0), ""), user!$B:$D, 2, 0), "TIDAK KETEMU"))</f>
        <v/>
      </c>
      <c r="K130" s="39" t="str">
        <f>IF(E130="", "", IFERROR(VLOOKUP(IFERROR(VLOOKUP(SUBSTITUTE(E130,"DS ","")&amp;F130, wilayahfix!$A:$D, 2, 0), ""), user!$B:$D, 3, 0), ""))</f>
        <v/>
      </c>
    </row>
    <row r="131" spans="10:11" x14ac:dyDescent="0.25">
      <c r="J131" s="39"/>
      <c r="K131" s="39"/>
    </row>
    <row r="132" spans="10:11" x14ac:dyDescent="0.25">
      <c r="J132" s="39" t="str">
        <f>IF(E132="", "", IFERROR(VLOOKUP(IFERROR(VLOOKUP(SUBSTITUTE(E132,"DS ","")&amp;F132, wilayahfix!$A:$D, 2, 0), ""), user!$B:$D, 2, 0), "TIDAK KETEMU"))</f>
        <v/>
      </c>
      <c r="K132" s="39" t="str">
        <f>IF(E132="", "", IFERROR(VLOOKUP(IFERROR(VLOOKUP(SUBSTITUTE(E132,"DS ","")&amp;F132, wilayahfix!$A:$D, 2, 0), ""), user!$B:$D, 3, 0), ""))</f>
        <v/>
      </c>
    </row>
    <row r="133" spans="10:11" x14ac:dyDescent="0.25">
      <c r="J133" s="39"/>
      <c r="K133" s="39"/>
    </row>
    <row r="134" spans="10:11" x14ac:dyDescent="0.25">
      <c r="J134" s="39" t="str">
        <f>IF(E134="", "", IFERROR(VLOOKUP(IFERROR(VLOOKUP(SUBSTITUTE(E134,"DS ","")&amp;F134, wilayahfix!$A:$D, 2, 0), ""), user!$B:$D, 2, 0), "TIDAK KETEMU"))</f>
        <v/>
      </c>
      <c r="K134" s="39" t="str">
        <f>IF(E134="", "", IFERROR(VLOOKUP(IFERROR(VLOOKUP(SUBSTITUTE(E134,"DS ","")&amp;F134, wilayahfix!$A:$D, 2, 0), ""), user!$B:$D, 3, 0), ""))</f>
        <v/>
      </c>
    </row>
    <row r="135" spans="10:11" x14ac:dyDescent="0.25">
      <c r="J135" s="39"/>
      <c r="K135" s="39"/>
    </row>
    <row r="136" spans="10:11" x14ac:dyDescent="0.25">
      <c r="J136" s="39" t="str">
        <f>IF(E136="", "", IFERROR(VLOOKUP(IFERROR(VLOOKUP(SUBSTITUTE(E136,"DS ","")&amp;F136, wilayahfix!$A:$D, 2, 0), ""), user!$B:$D, 2, 0), "TIDAK KETEMU"))</f>
        <v/>
      </c>
      <c r="K136" s="39" t="str">
        <f>IF(E136="", "", IFERROR(VLOOKUP(IFERROR(VLOOKUP(SUBSTITUTE(E136,"DS ","")&amp;F136, wilayahfix!$A:$D, 2, 0), ""), user!$B:$D, 3, 0), ""))</f>
        <v/>
      </c>
    </row>
    <row r="137" spans="10:11" x14ac:dyDescent="0.25">
      <c r="J137" s="39"/>
      <c r="K137" s="39"/>
    </row>
    <row r="138" spans="10:11" x14ac:dyDescent="0.25">
      <c r="J138" s="39" t="str">
        <f>IF(E138="", "", IFERROR(VLOOKUP(IFERROR(VLOOKUP(SUBSTITUTE(E138,"DS ","")&amp;F138, wilayahfix!$A:$D, 2, 0), ""), user!$B:$D, 2, 0), "TIDAK KETEMU"))</f>
        <v/>
      </c>
      <c r="K138" s="39" t="str">
        <f>IF(E138="", "", IFERROR(VLOOKUP(IFERROR(VLOOKUP(SUBSTITUTE(E138,"DS ","")&amp;F138, wilayahfix!$A:$D, 2, 0), ""), user!$B:$D, 3, 0), ""))</f>
        <v/>
      </c>
    </row>
    <row r="139" spans="10:11" x14ac:dyDescent="0.25">
      <c r="J139" s="39"/>
      <c r="K139" s="39"/>
    </row>
    <row r="140" spans="10:11" x14ac:dyDescent="0.25">
      <c r="J140" s="39" t="str">
        <f>IF(E140="", "", IFERROR(VLOOKUP(IFERROR(VLOOKUP(SUBSTITUTE(E140,"DS ","")&amp;F140, wilayahfix!$A:$D, 2, 0), ""), user!$B:$D, 2, 0), "TIDAK KETEMU"))</f>
        <v/>
      </c>
      <c r="K140" s="39" t="str">
        <f>IF(E140="", "", IFERROR(VLOOKUP(IFERROR(VLOOKUP(SUBSTITUTE(E140,"DS ","")&amp;F140, wilayahfix!$A:$D, 2, 0), ""), user!$B:$D, 3, 0), ""))</f>
        <v/>
      </c>
    </row>
    <row r="141" spans="10:11" x14ac:dyDescent="0.25">
      <c r="J141" s="39"/>
      <c r="K141" s="39"/>
    </row>
    <row r="142" spans="10:11" x14ac:dyDescent="0.25">
      <c r="J142" s="39" t="str">
        <f>IF(E142="", "", IFERROR(VLOOKUP(IFERROR(VLOOKUP(SUBSTITUTE(E142,"DS ","")&amp;F142, wilayahfix!$A:$D, 2, 0), ""), user!$B:$D, 2, 0), "TIDAK KETEMU"))</f>
        <v/>
      </c>
      <c r="K142" s="39" t="str">
        <f>IF(E142="", "", IFERROR(VLOOKUP(IFERROR(VLOOKUP(SUBSTITUTE(E142,"DS ","")&amp;F142, wilayahfix!$A:$D, 2, 0), ""), user!$B:$D, 3, 0), ""))</f>
        <v/>
      </c>
    </row>
    <row r="143" spans="10:11" x14ac:dyDescent="0.25">
      <c r="J143" s="39"/>
      <c r="K143" s="39"/>
    </row>
    <row r="144" spans="10:11" x14ac:dyDescent="0.25">
      <c r="J144" s="39" t="str">
        <f>IF(E144="", "", IFERROR(VLOOKUP(IFERROR(VLOOKUP(SUBSTITUTE(E144,"DS ","")&amp;F144, wilayahfix!$A:$D, 2, 0), ""), user!$B:$D, 2, 0), "TIDAK KETEMU"))</f>
        <v/>
      </c>
      <c r="K144" s="39" t="str">
        <f>IF(E144="", "", IFERROR(VLOOKUP(IFERROR(VLOOKUP(SUBSTITUTE(E144,"DS ","")&amp;F144, wilayahfix!$A:$D, 2, 0), ""), user!$B:$D, 3, 0), ""))</f>
        <v/>
      </c>
    </row>
    <row r="145" spans="10:11" x14ac:dyDescent="0.25">
      <c r="J145" s="39"/>
      <c r="K145" s="39"/>
    </row>
    <row r="146" spans="10:11" x14ac:dyDescent="0.25">
      <c r="J146" s="39" t="str">
        <f>IF(E146="", "", IFERROR(VLOOKUP(IFERROR(VLOOKUP(SUBSTITUTE(E146,"DS ","")&amp;F146, wilayahfix!$A:$D, 2, 0), ""), user!$B:$D, 2, 0), "TIDAK KETEMU"))</f>
        <v/>
      </c>
      <c r="K146" s="39" t="str">
        <f>IF(E146="", "", IFERROR(VLOOKUP(IFERROR(VLOOKUP(SUBSTITUTE(E146,"DS ","")&amp;F146, wilayahfix!$A:$D, 2, 0), ""), user!$B:$D, 3, 0), ""))</f>
        <v/>
      </c>
    </row>
    <row r="147" spans="10:11" x14ac:dyDescent="0.25">
      <c r="J147" s="39"/>
      <c r="K147" s="39"/>
    </row>
    <row r="148" spans="10:11" x14ac:dyDescent="0.25">
      <c r="J148" s="39" t="str">
        <f>IF(E148="", "", IFERROR(VLOOKUP(IFERROR(VLOOKUP(SUBSTITUTE(E148,"DS ","")&amp;F148, wilayahfix!$A:$D, 2, 0), ""), user!$B:$D, 2, 0), "TIDAK KETEMU"))</f>
        <v/>
      </c>
      <c r="K148" s="39" t="str">
        <f>IF(E148="", "", IFERROR(VLOOKUP(IFERROR(VLOOKUP(SUBSTITUTE(E148,"DS ","")&amp;F148, wilayahfix!$A:$D, 2, 0), ""), user!$B:$D, 3, 0), ""))</f>
        <v/>
      </c>
    </row>
    <row r="149" spans="10:11" x14ac:dyDescent="0.25">
      <c r="J149" s="39"/>
      <c r="K149" s="39"/>
    </row>
    <row r="150" spans="10:11" x14ac:dyDescent="0.25">
      <c r="J150" s="39" t="str">
        <f>IF(E150="", "", IFERROR(VLOOKUP(IFERROR(VLOOKUP(SUBSTITUTE(E150,"DS ","")&amp;F150, wilayahfix!$A:$D, 2, 0), ""), user!$B:$D, 2, 0), "TIDAK KETEMU"))</f>
        <v/>
      </c>
      <c r="K150" s="39" t="str">
        <f>IF(E150="", "", IFERROR(VLOOKUP(IFERROR(VLOOKUP(SUBSTITUTE(E150,"DS ","")&amp;F150, wilayahfix!$A:$D, 2, 0), ""), user!$B:$D, 3, 0), ""))</f>
        <v/>
      </c>
    </row>
    <row r="151" spans="10:11" x14ac:dyDescent="0.25">
      <c r="J151" s="39"/>
      <c r="K151" s="39"/>
    </row>
    <row r="152" spans="10:11" x14ac:dyDescent="0.25">
      <c r="J152" s="39" t="str">
        <f>IF(E152="", "", IFERROR(VLOOKUP(IFERROR(VLOOKUP(SUBSTITUTE(E152,"DS ","")&amp;F152, wilayahfix!$A:$D, 2, 0), ""), user!$B:$D, 2, 0), "TIDAK KETEMU"))</f>
        <v/>
      </c>
      <c r="K152" s="39" t="str">
        <f>IF(E152="", "", IFERROR(VLOOKUP(IFERROR(VLOOKUP(SUBSTITUTE(E152,"DS ","")&amp;F152, wilayahfix!$A:$D, 2, 0), ""), user!$B:$D, 3, 0), ""))</f>
        <v/>
      </c>
    </row>
    <row r="153" spans="10:11" x14ac:dyDescent="0.25">
      <c r="J153" s="39"/>
      <c r="K153" s="39"/>
    </row>
    <row r="154" spans="10:11" x14ac:dyDescent="0.25">
      <c r="J154" s="39" t="str">
        <f>IF(E154="", "", IFERROR(VLOOKUP(IFERROR(VLOOKUP(SUBSTITUTE(E154,"DS ","")&amp;F154, wilayahfix!$A:$D, 2, 0), ""), user!$B:$D, 2, 0), "TIDAK KETEMU"))</f>
        <v/>
      </c>
      <c r="K154" s="39" t="str">
        <f>IF(E154="", "", IFERROR(VLOOKUP(IFERROR(VLOOKUP(SUBSTITUTE(E154,"DS ","")&amp;F154, wilayahfix!$A:$D, 2, 0), ""), user!$B:$D, 3, 0), ""))</f>
        <v/>
      </c>
    </row>
    <row r="155" spans="10:11" x14ac:dyDescent="0.25">
      <c r="J155" s="39"/>
      <c r="K155" s="39"/>
    </row>
    <row r="156" spans="10:11" x14ac:dyDescent="0.25">
      <c r="J156" s="39" t="str">
        <f>IF(E156="", "", IFERROR(VLOOKUP(IFERROR(VLOOKUP(SUBSTITUTE(E156,"DS ","")&amp;F156, wilayahfix!$A:$D, 2, 0), ""), user!$B:$D, 2, 0), "TIDAK KETEMU"))</f>
        <v/>
      </c>
      <c r="K156" s="39" t="str">
        <f>IF(E156="", "", IFERROR(VLOOKUP(IFERROR(VLOOKUP(SUBSTITUTE(E156,"DS ","")&amp;F156, wilayahfix!$A:$D, 2, 0), ""), user!$B:$D, 3, 0), ""))</f>
        <v/>
      </c>
    </row>
    <row r="157" spans="10:11" x14ac:dyDescent="0.25">
      <c r="J157" s="39"/>
      <c r="K157" s="39"/>
    </row>
    <row r="158" spans="10:11" x14ac:dyDescent="0.25">
      <c r="J158" s="39" t="str">
        <f>IF(E158="", "", IFERROR(VLOOKUP(IFERROR(VLOOKUP(SUBSTITUTE(E158,"DS ","")&amp;F158, wilayahfix!$A:$D, 2, 0), ""), user!$B:$D, 2, 0), "TIDAK KETEMU"))</f>
        <v/>
      </c>
      <c r="K158" s="39" t="str">
        <f>IF(E158="", "", IFERROR(VLOOKUP(IFERROR(VLOOKUP(SUBSTITUTE(E158,"DS ","")&amp;F158, wilayahfix!$A:$D, 2, 0), ""), user!$B:$D, 3, 0), ""))</f>
        <v/>
      </c>
    </row>
    <row r="159" spans="10:11" x14ac:dyDescent="0.25">
      <c r="J159" s="39"/>
      <c r="K159" s="39"/>
    </row>
    <row r="160" spans="10:11" x14ac:dyDescent="0.25">
      <c r="J160" s="39" t="str">
        <f>IF(E160="", "", IFERROR(VLOOKUP(IFERROR(VLOOKUP(SUBSTITUTE(E160,"DS ","")&amp;F160, wilayahfix!$A:$D, 2, 0), ""), user!$B:$D, 2, 0), "TIDAK KETEMU"))</f>
        <v/>
      </c>
      <c r="K160" s="39" t="str">
        <f>IF(E160="", "", IFERROR(VLOOKUP(IFERROR(VLOOKUP(SUBSTITUTE(E160,"DS ","")&amp;F160, wilayahfix!$A:$D, 2, 0), ""), user!$B:$D, 3, 0), ""))</f>
        <v/>
      </c>
    </row>
    <row r="161" spans="10:11" x14ac:dyDescent="0.25">
      <c r="J161" s="39"/>
      <c r="K161" s="39"/>
    </row>
    <row r="162" spans="10:11" x14ac:dyDescent="0.25">
      <c r="J162" s="39" t="str">
        <f>IF(E162="", "", IFERROR(VLOOKUP(IFERROR(VLOOKUP(SUBSTITUTE(E162,"DS ","")&amp;F162, wilayahfix!$A:$D, 2, 0), ""), user!$B:$D, 2, 0), "TIDAK KETEMU"))</f>
        <v/>
      </c>
      <c r="K162" s="39" t="str">
        <f>IF(E162="", "", IFERROR(VLOOKUP(IFERROR(VLOOKUP(SUBSTITUTE(E162,"DS ","")&amp;F162, wilayahfix!$A:$D, 2, 0), ""), user!$B:$D, 3, 0), ""))</f>
        <v/>
      </c>
    </row>
    <row r="163" spans="10:11" x14ac:dyDescent="0.25">
      <c r="J163" s="39"/>
      <c r="K163" s="39"/>
    </row>
    <row r="164" spans="10:11" x14ac:dyDescent="0.25">
      <c r="J164" s="39" t="str">
        <f>IF(E164="", "", IFERROR(VLOOKUP(IFERROR(VLOOKUP(SUBSTITUTE(E164,"DS ","")&amp;F164, wilayahfix!$A:$D, 2, 0), ""), user!$B:$D, 2, 0), "TIDAK KETEMU"))</f>
        <v/>
      </c>
      <c r="K164" s="39" t="str">
        <f>IF(E164="", "", IFERROR(VLOOKUP(IFERROR(VLOOKUP(SUBSTITUTE(E164,"DS ","")&amp;F164, wilayahfix!$A:$D, 2, 0), ""), user!$B:$D, 3, 0), ""))</f>
        <v/>
      </c>
    </row>
    <row r="165" spans="10:11" x14ac:dyDescent="0.25">
      <c r="J165" s="39"/>
      <c r="K165" s="39"/>
    </row>
    <row r="166" spans="10:11" x14ac:dyDescent="0.25">
      <c r="J166" s="39" t="str">
        <f>IF(E166="", "", IFERROR(VLOOKUP(IFERROR(VLOOKUP(SUBSTITUTE(E166,"DS ","")&amp;F166, wilayahfix!$A:$D, 2, 0), ""), user!$B:$D, 2, 0), "TIDAK KETEMU"))</f>
        <v/>
      </c>
      <c r="K166" s="39" t="str">
        <f>IF(E166="", "", IFERROR(VLOOKUP(IFERROR(VLOOKUP(SUBSTITUTE(E166,"DS ","")&amp;F166, wilayahfix!$A:$D, 2, 0), ""), user!$B:$D, 3, 0), ""))</f>
        <v/>
      </c>
    </row>
    <row r="167" spans="10:11" x14ac:dyDescent="0.25">
      <c r="J167" s="39"/>
      <c r="K167" s="39"/>
    </row>
    <row r="168" spans="10:11" x14ac:dyDescent="0.25">
      <c r="J168" s="39" t="str">
        <f>IF(E168="", "", IFERROR(VLOOKUP(IFERROR(VLOOKUP(SUBSTITUTE(E168,"DS ","")&amp;F168, wilayahfix!$A:$D, 2, 0), ""), user!$B:$D, 2, 0), "TIDAK KETEMU"))</f>
        <v/>
      </c>
      <c r="K168" s="39" t="str">
        <f>IF(E168="", "", IFERROR(VLOOKUP(IFERROR(VLOOKUP(SUBSTITUTE(E168,"DS ","")&amp;F168, wilayahfix!$A:$D, 2, 0), ""), user!$B:$D, 3, 0), ""))</f>
        <v/>
      </c>
    </row>
    <row r="169" spans="10:11" x14ac:dyDescent="0.25">
      <c r="J169" s="39"/>
      <c r="K169" s="39"/>
    </row>
    <row r="170" spans="10:11" x14ac:dyDescent="0.25">
      <c r="J170" s="39" t="str">
        <f>IF(E170="", "", IFERROR(VLOOKUP(IFERROR(VLOOKUP(SUBSTITUTE(E170,"DS ","")&amp;F170, wilayahfix!$A:$D, 2, 0), ""), user!$B:$D, 2, 0), "TIDAK KETEMU"))</f>
        <v/>
      </c>
      <c r="K170" s="39" t="str">
        <f>IF(E170="", "", IFERROR(VLOOKUP(IFERROR(VLOOKUP(SUBSTITUTE(E170,"DS ","")&amp;F170, wilayahfix!$A:$D, 2, 0), ""), user!$B:$D, 3, 0), ""))</f>
        <v/>
      </c>
    </row>
    <row r="171" spans="10:11" x14ac:dyDescent="0.25">
      <c r="J171" s="39"/>
      <c r="K171" s="39"/>
    </row>
    <row r="172" spans="10:11" x14ac:dyDescent="0.25">
      <c r="J172" s="39" t="str">
        <f>IF(E172="", "", IFERROR(VLOOKUP(IFERROR(VLOOKUP(SUBSTITUTE(E172,"DS ","")&amp;F172, wilayahfix!$A:$D, 2, 0), ""), user!$B:$D, 2, 0), "TIDAK KETEMU"))</f>
        <v/>
      </c>
      <c r="K172" s="39" t="str">
        <f>IF(E172="", "", IFERROR(VLOOKUP(IFERROR(VLOOKUP(SUBSTITUTE(E172,"DS ","")&amp;F172, wilayahfix!$A:$D, 2, 0), ""), user!$B:$D, 3, 0), ""))</f>
        <v/>
      </c>
    </row>
    <row r="173" spans="10:11" x14ac:dyDescent="0.25">
      <c r="J173" s="39"/>
      <c r="K173" s="39"/>
    </row>
    <row r="174" spans="10:11" x14ac:dyDescent="0.25">
      <c r="J174" s="39" t="str">
        <f>IF(E174="", "", IFERROR(VLOOKUP(IFERROR(VLOOKUP(SUBSTITUTE(E174,"DS ","")&amp;F174, wilayahfix!$A:$D, 2, 0), ""), user!$B:$D, 2, 0), "TIDAK KETEMU"))</f>
        <v/>
      </c>
      <c r="K174" s="39" t="str">
        <f>IF(E174="", "", IFERROR(VLOOKUP(IFERROR(VLOOKUP(SUBSTITUTE(E174,"DS ","")&amp;F174, wilayahfix!$A:$D, 2, 0), ""), user!$B:$D, 3, 0), ""))</f>
        <v/>
      </c>
    </row>
    <row r="175" spans="10:11" x14ac:dyDescent="0.25">
      <c r="J175" s="39"/>
      <c r="K175" s="39"/>
    </row>
    <row r="176" spans="10:11" x14ac:dyDescent="0.25">
      <c r="J176" s="39" t="str">
        <f>IF(E176="", "", IFERROR(VLOOKUP(IFERROR(VLOOKUP(SUBSTITUTE(E176,"DS ","")&amp;F176, wilayahfix!$A:$D, 2, 0), ""), user!$B:$D, 2, 0), "TIDAK KETEMU"))</f>
        <v/>
      </c>
      <c r="K176" s="39" t="str">
        <f>IF(E176="", "", IFERROR(VLOOKUP(IFERROR(VLOOKUP(SUBSTITUTE(E176,"DS ","")&amp;F176, wilayahfix!$A:$D, 2, 0), ""), user!$B:$D, 3, 0), ""))</f>
        <v/>
      </c>
    </row>
    <row r="177" spans="10:11" x14ac:dyDescent="0.25">
      <c r="J177" s="39"/>
      <c r="K177" s="39"/>
    </row>
    <row r="178" spans="10:11" x14ac:dyDescent="0.25">
      <c r="J178" s="39" t="str">
        <f>IF(E178="", "", IFERROR(VLOOKUP(IFERROR(VLOOKUP(SUBSTITUTE(E178,"DS ","")&amp;F178, wilayahfix!$A:$D, 2, 0), ""), user!$B:$D, 2, 0), "TIDAK KETEMU"))</f>
        <v/>
      </c>
      <c r="K178" s="39" t="str">
        <f>IF(E178="", "", IFERROR(VLOOKUP(IFERROR(VLOOKUP(SUBSTITUTE(E178,"DS ","")&amp;F178, wilayahfix!$A:$D, 2, 0), ""), user!$B:$D, 3, 0), ""))</f>
        <v/>
      </c>
    </row>
    <row r="179" spans="10:11" x14ac:dyDescent="0.25">
      <c r="J179" s="39"/>
      <c r="K179" s="39"/>
    </row>
    <row r="180" spans="10:11" x14ac:dyDescent="0.25">
      <c r="J180" s="39" t="str">
        <f>IF(E180="", "", IFERROR(VLOOKUP(IFERROR(VLOOKUP(SUBSTITUTE(E180,"DS ","")&amp;F180, wilayahfix!$A:$D, 2, 0), ""), user!$B:$D, 2, 0), "TIDAK KETEMU"))</f>
        <v/>
      </c>
      <c r="K180" s="39" t="str">
        <f>IF(E180="", "", IFERROR(VLOOKUP(IFERROR(VLOOKUP(SUBSTITUTE(E180,"DS ","")&amp;F180, wilayahfix!$A:$D, 2, 0), ""), user!$B:$D, 3, 0), ""))</f>
        <v/>
      </c>
    </row>
    <row r="181" spans="10:11" x14ac:dyDescent="0.25">
      <c r="J181" s="39"/>
      <c r="K181" s="39"/>
    </row>
    <row r="182" spans="10:11" x14ac:dyDescent="0.25">
      <c r="J182" s="39" t="str">
        <f>IF(E182="", "", IFERROR(VLOOKUP(IFERROR(VLOOKUP(SUBSTITUTE(E182,"DS ","")&amp;F182, wilayahfix!$A:$D, 2, 0), ""), user!$B:$D, 2, 0), "TIDAK KETEMU"))</f>
        <v/>
      </c>
      <c r="K182" s="39" t="str">
        <f>IF(E182="", "", IFERROR(VLOOKUP(IFERROR(VLOOKUP(SUBSTITUTE(E182,"DS ","")&amp;F182, wilayahfix!$A:$D, 2, 0), ""), user!$B:$D, 3, 0), ""))</f>
        <v/>
      </c>
    </row>
    <row r="183" spans="10:11" x14ac:dyDescent="0.25">
      <c r="J183" s="39"/>
      <c r="K183" s="39"/>
    </row>
    <row r="184" spans="10:11" x14ac:dyDescent="0.25">
      <c r="J184" s="39" t="str">
        <f>IF(E184="", "", IFERROR(VLOOKUP(IFERROR(VLOOKUP(SUBSTITUTE(E184,"DS ","")&amp;F184, wilayahfix!$A:$D, 2, 0), ""), user!$B:$D, 2, 0), "TIDAK KETEMU"))</f>
        <v/>
      </c>
      <c r="K184" s="39" t="str">
        <f>IF(E184="", "", IFERROR(VLOOKUP(IFERROR(VLOOKUP(SUBSTITUTE(E184,"DS ","")&amp;F184, wilayahfix!$A:$D, 2, 0), ""), user!$B:$D, 3, 0), ""))</f>
        <v/>
      </c>
    </row>
    <row r="185" spans="10:11" x14ac:dyDescent="0.25">
      <c r="J185" s="39"/>
      <c r="K185" s="39"/>
    </row>
    <row r="186" spans="10:11" x14ac:dyDescent="0.25">
      <c r="J186" s="39" t="str">
        <f>IF(E186="", "", IFERROR(VLOOKUP(IFERROR(VLOOKUP(SUBSTITUTE(E186,"DS ","")&amp;F186, wilayahfix!$A:$D, 2, 0), ""), user!$B:$D, 2, 0), "TIDAK KETEMU"))</f>
        <v/>
      </c>
      <c r="K186" s="39" t="str">
        <f>IF(E186="", "", IFERROR(VLOOKUP(IFERROR(VLOOKUP(SUBSTITUTE(E186,"DS ","")&amp;F186, wilayahfix!$A:$D, 2, 0), ""), user!$B:$D, 3, 0), ""))</f>
        <v/>
      </c>
    </row>
    <row r="187" spans="10:11" x14ac:dyDescent="0.25">
      <c r="J187" s="39"/>
      <c r="K187" s="39"/>
    </row>
    <row r="188" spans="10:11" x14ac:dyDescent="0.25">
      <c r="J188" s="39" t="str">
        <f>IF(E188="", "", IFERROR(VLOOKUP(IFERROR(VLOOKUP(SUBSTITUTE(E188,"DS ","")&amp;F188, wilayahfix!$A:$D, 2, 0), ""), user!$B:$D, 2, 0), "TIDAK KETEMU"))</f>
        <v/>
      </c>
      <c r="K188" s="39" t="str">
        <f>IF(E188="", "", IFERROR(VLOOKUP(IFERROR(VLOOKUP(SUBSTITUTE(E188,"DS ","")&amp;F188, wilayahfix!$A:$D, 2, 0), ""), user!$B:$D, 3, 0), ""))</f>
        <v/>
      </c>
    </row>
    <row r="189" spans="10:11" x14ac:dyDescent="0.25">
      <c r="J189" s="39"/>
      <c r="K189" s="39"/>
    </row>
    <row r="190" spans="10:11" x14ac:dyDescent="0.25">
      <c r="J190" s="39" t="str">
        <f>IF(E190="", "", IFERROR(VLOOKUP(IFERROR(VLOOKUP(SUBSTITUTE(E190,"DS ","")&amp;F190, wilayahfix!$A:$D, 2, 0), ""), user!$B:$D, 2, 0), "TIDAK KETEMU"))</f>
        <v/>
      </c>
      <c r="K190" s="39" t="str">
        <f>IF(E190="", "", IFERROR(VLOOKUP(IFERROR(VLOOKUP(SUBSTITUTE(E190,"DS ","")&amp;F190, wilayahfix!$A:$D, 2, 0), ""), user!$B:$D, 3, 0), ""))</f>
        <v/>
      </c>
    </row>
    <row r="191" spans="10:11" x14ac:dyDescent="0.25">
      <c r="J191" s="39"/>
      <c r="K191" s="39"/>
    </row>
    <row r="192" spans="10:11" x14ac:dyDescent="0.25">
      <c r="J192" s="39" t="str">
        <f>IF(E192="", "", IFERROR(VLOOKUP(IFERROR(VLOOKUP(SUBSTITUTE(E192,"DS ","")&amp;F192, wilayahfix!$A:$D, 2, 0), ""), user!$B:$D, 2, 0), "TIDAK KETEMU"))</f>
        <v/>
      </c>
      <c r="K192" s="39" t="str">
        <f>IF(E192="", "", IFERROR(VLOOKUP(IFERROR(VLOOKUP(SUBSTITUTE(E192,"DS ","")&amp;F192, wilayahfix!$A:$D, 2, 0), ""), user!$B:$D, 3, 0), ""))</f>
        <v/>
      </c>
    </row>
    <row r="193" spans="10:11" x14ac:dyDescent="0.25">
      <c r="J193" s="39"/>
      <c r="K193" s="39"/>
    </row>
    <row r="194" spans="10:11" x14ac:dyDescent="0.25">
      <c r="J194" s="39" t="str">
        <f>IF(E194="", "", IFERROR(VLOOKUP(IFERROR(VLOOKUP(SUBSTITUTE(E194,"DS ","")&amp;F194, wilayahfix!$A:$D, 2, 0), ""), user!$B:$D, 2, 0), "TIDAK KETEMU"))</f>
        <v/>
      </c>
      <c r="K194" s="39" t="str">
        <f>IF(E194="", "", IFERROR(VLOOKUP(IFERROR(VLOOKUP(SUBSTITUTE(E194,"DS ","")&amp;F194, wilayahfix!$A:$D, 2, 0), ""), user!$B:$D, 3, 0), ""))</f>
        <v/>
      </c>
    </row>
    <row r="195" spans="10:11" x14ac:dyDescent="0.25">
      <c r="J195" s="39"/>
      <c r="K195" s="39"/>
    </row>
    <row r="196" spans="10:11" x14ac:dyDescent="0.25">
      <c r="J196" s="39" t="str">
        <f>IF(E196="", "", IFERROR(VLOOKUP(IFERROR(VLOOKUP(SUBSTITUTE(E196,"DS ","")&amp;F196, wilayahfix!$A:$D, 2, 0), ""), user!$B:$D, 2, 0), "TIDAK KETEMU"))</f>
        <v/>
      </c>
      <c r="K196" s="39" t="str">
        <f>IF(E196="", "", IFERROR(VLOOKUP(IFERROR(VLOOKUP(SUBSTITUTE(E196,"DS ","")&amp;F196, wilayahfix!$A:$D, 2, 0), ""), user!$B:$D, 3, 0), ""))</f>
        <v/>
      </c>
    </row>
    <row r="197" spans="10:11" x14ac:dyDescent="0.25">
      <c r="J197" s="39"/>
      <c r="K197" s="39"/>
    </row>
    <row r="198" spans="10:11" x14ac:dyDescent="0.25">
      <c r="J198" s="39" t="str">
        <f>IF(E198="", "", IFERROR(VLOOKUP(IFERROR(VLOOKUP(SUBSTITUTE(E198,"DS ","")&amp;F198, wilayahfix!$A:$D, 2, 0), ""), user!$B:$D, 2, 0), "TIDAK KETEMU"))</f>
        <v/>
      </c>
      <c r="K198" s="39" t="str">
        <f>IF(E198="", "", IFERROR(VLOOKUP(IFERROR(VLOOKUP(SUBSTITUTE(E198,"DS ","")&amp;F198, wilayahfix!$A:$D, 2, 0), ""), user!$B:$D, 3, 0), ""))</f>
        <v/>
      </c>
    </row>
    <row r="199" spans="10:11" x14ac:dyDescent="0.25">
      <c r="J199" s="39"/>
      <c r="K199" s="39"/>
    </row>
    <row r="200" spans="10:11" x14ac:dyDescent="0.25">
      <c r="J200" s="39" t="str">
        <f>IF(E200="", "", IFERROR(VLOOKUP(IFERROR(VLOOKUP(SUBSTITUTE(E200,"DS ","")&amp;F200, wilayahfix!$A:$D, 2, 0), ""), user!$B:$D, 2, 0), "TIDAK KETEMU"))</f>
        <v/>
      </c>
      <c r="K200" s="39" t="str">
        <f>IF(E200="", "", IFERROR(VLOOKUP(IFERROR(VLOOKUP(SUBSTITUTE(E200,"DS ","")&amp;F200,#REF!, 2, 0), ""), user!$B:$D, 3, 0), ""))</f>
        <v/>
      </c>
    </row>
    <row r="201" spans="10:11" x14ac:dyDescent="0.25">
      <c r="J201" s="39"/>
      <c r="K201" s="39"/>
    </row>
    <row r="202" spans="10:11" x14ac:dyDescent="0.25">
      <c r="J202" s="39" t="str">
        <f>IF(E202="", "", IFERROR(VLOOKUP(IFERROR(VLOOKUP(SUBSTITUTE(E202,"DS ","")&amp;F202, wilayahfix!$A:$D, 2, 0), ""), user!$B:$D, 2, 0), "TIDAK KETEMU"))</f>
        <v/>
      </c>
      <c r="K202" s="39" t="str">
        <f>IF(E202="", "", IFERROR(VLOOKUP(IFERROR(VLOOKUP(SUBSTITUTE(E202,"DS ","")&amp;F202,#REF!, 2, 0), ""), user!$B:$D, 3, 0), ""))</f>
        <v/>
      </c>
    </row>
    <row r="203" spans="10:11" x14ac:dyDescent="0.25">
      <c r="J203" s="39"/>
      <c r="K203" s="39"/>
    </row>
    <row r="204" spans="10:11" x14ac:dyDescent="0.25">
      <c r="J204" s="39" t="str">
        <f>IF(E204="", "", IFERROR(VLOOKUP(IFERROR(VLOOKUP(SUBSTITUTE(E204,"DS ","")&amp;F204, wilayahfix!$A:$D, 2, 0), ""), user!$B:$D, 2, 0), "TIDAK KETEMU"))</f>
        <v/>
      </c>
      <c r="K204" s="39" t="str">
        <f>IF(E204="", "", IFERROR(VLOOKUP(IFERROR(VLOOKUP(SUBSTITUTE(E204,"DS ","")&amp;F204,#REF!, 2, 0), ""), user!$B:$D, 3, 0), ""))</f>
        <v/>
      </c>
    </row>
    <row r="205" spans="10:11" x14ac:dyDescent="0.25">
      <c r="J205" s="39"/>
      <c r="K205" s="39"/>
    </row>
    <row r="206" spans="10:11" x14ac:dyDescent="0.25">
      <c r="J206" s="39" t="str">
        <f>IF(E206="", "", IFERROR(VLOOKUP(IFERROR(VLOOKUP(SUBSTITUTE(E206,"DS ","")&amp;F206, wilayahfix!$A:$D, 2, 0), ""), user!$B:$D, 2, 0), "TIDAK KETEMU"))</f>
        <v/>
      </c>
      <c r="K206" s="39" t="str">
        <f>IF(E206="", "", IFERROR(VLOOKUP(IFERROR(VLOOKUP(SUBSTITUTE(E206,"DS ","")&amp;F206,#REF!, 2, 0), ""), user!$B:$D, 3, 0), ""))</f>
        <v/>
      </c>
    </row>
    <row r="207" spans="10:11" x14ac:dyDescent="0.25">
      <c r="J207" s="39"/>
      <c r="K207" s="39"/>
    </row>
    <row r="208" spans="10:11" x14ac:dyDescent="0.25">
      <c r="J208" s="39" t="str">
        <f>IF(E208="", "", IFERROR(VLOOKUP(IFERROR(VLOOKUP(SUBSTITUTE(E208,"DS ","")&amp;F208, wilayahfix!$A:$D, 2, 0), ""), user!$B:$D, 2, 0), "TIDAK KETEMU"))</f>
        <v/>
      </c>
      <c r="K208" s="39" t="str">
        <f>IF(E208="", "", IFERROR(VLOOKUP(IFERROR(VLOOKUP(SUBSTITUTE(E208,"DS ","")&amp;F208,#REF!, 2, 0), ""), user!$B:$D, 3, 0), ""))</f>
        <v/>
      </c>
    </row>
    <row r="209" spans="10:11" x14ac:dyDescent="0.25">
      <c r="J209" s="39"/>
      <c r="K209" s="39"/>
    </row>
    <row r="210" spans="10:11" x14ac:dyDescent="0.25">
      <c r="J210" s="39" t="str">
        <f>IF(E210="", "", IFERROR(VLOOKUP(IFERROR(VLOOKUP(SUBSTITUTE(E210,"DS ","")&amp;F210, wilayahfix!$A:$D, 2, 0), ""), user!$B:$D, 2, 0), "TIDAK KETEMU"))</f>
        <v/>
      </c>
      <c r="K210" s="39" t="str">
        <f>IF(E210="", "", IFERROR(VLOOKUP(IFERROR(VLOOKUP(SUBSTITUTE(E210,"DS ","")&amp;F210,#REF!, 2, 0), ""), user!$B:$D, 3, 0), ""))</f>
        <v/>
      </c>
    </row>
    <row r="211" spans="10:11" x14ac:dyDescent="0.25">
      <c r="J211" s="39"/>
      <c r="K211" s="39"/>
    </row>
    <row r="212" spans="10:11" x14ac:dyDescent="0.25">
      <c r="J212" s="39" t="str">
        <f>IF(E212="", "", IFERROR(VLOOKUP(IFERROR(VLOOKUP(SUBSTITUTE(E212,"DS ","")&amp;F212, wilayahfix!$A:$D, 2, 0), ""), user!$B:$D, 2, 0), "TIDAK KETEMU"))</f>
        <v/>
      </c>
      <c r="K212" s="39" t="str">
        <f>IF(E212="", "", IFERROR(VLOOKUP(IFERROR(VLOOKUP(SUBSTITUTE(E212,"DS ","")&amp;F212,#REF!, 2, 0), ""), user!$B:$D, 3, 0), ""))</f>
        <v/>
      </c>
    </row>
    <row r="213" spans="10:11" x14ac:dyDescent="0.25">
      <c r="J213" s="39"/>
      <c r="K213" s="39"/>
    </row>
    <row r="214" spans="10:11" x14ac:dyDescent="0.25">
      <c r="J214" s="39" t="str">
        <f>IF(E214="", "", IFERROR(VLOOKUP(IFERROR(VLOOKUP(SUBSTITUTE(E214,"DS ","")&amp;F214, wilayahfix!$A:$D, 2, 0), ""), user!$B:$D, 2, 0), "TIDAK KETEMU"))</f>
        <v/>
      </c>
      <c r="K214" s="39" t="str">
        <f>IF(E214="", "", IFERROR(VLOOKUP(IFERROR(VLOOKUP(SUBSTITUTE(E214,"DS ","")&amp;F214,#REF!, 2, 0), ""), user!$B:$D, 3, 0), ""))</f>
        <v/>
      </c>
    </row>
    <row r="215" spans="10:11" x14ac:dyDescent="0.25">
      <c r="J215" s="39"/>
      <c r="K215" s="39"/>
    </row>
    <row r="216" spans="10:11" x14ac:dyDescent="0.25">
      <c r="J216" s="39" t="str">
        <f>IF(E216="", "", IFERROR(VLOOKUP(IFERROR(VLOOKUP(SUBSTITUTE(E216,"DS ","")&amp;F216, wilayahfix!$A:$D, 2, 0), ""), user!$B:$D, 2, 0), "TIDAK KETEMU"))</f>
        <v/>
      </c>
      <c r="K216" s="39" t="str">
        <f>IF(E216="", "", IFERROR(VLOOKUP(IFERROR(VLOOKUP(SUBSTITUTE(E216,"DS ","")&amp;F216,#REF!, 2, 0), ""), user!$B:$D, 3, 0), ""))</f>
        <v/>
      </c>
    </row>
    <row r="217" spans="10:11" x14ac:dyDescent="0.25">
      <c r="J217" s="39"/>
      <c r="K217" s="39"/>
    </row>
    <row r="218" spans="10:11" x14ac:dyDescent="0.25">
      <c r="J218" s="39" t="str">
        <f>IF(E218="", "", IFERROR(VLOOKUP(IFERROR(VLOOKUP(SUBSTITUTE(E218,"DS ","")&amp;F218, wilayahfix!$A:$D, 2, 0), ""), user!$B:$D, 2, 0), "TIDAK KETEMU"))</f>
        <v/>
      </c>
      <c r="K218" s="39" t="str">
        <f>IF(E218="", "", IFERROR(VLOOKUP(IFERROR(VLOOKUP(SUBSTITUTE(E218,"DS ","")&amp;F218,#REF!, 2, 0), ""), user!$B:$D, 3, 0), ""))</f>
        <v/>
      </c>
    </row>
    <row r="219" spans="10:11" x14ac:dyDescent="0.25">
      <c r="J219" s="39"/>
      <c r="K219" s="39"/>
    </row>
    <row r="220" spans="10:11" x14ac:dyDescent="0.25">
      <c r="J220" s="39" t="str">
        <f>IF(E220="", "", IFERROR(VLOOKUP(IFERROR(VLOOKUP(SUBSTITUTE(E220,"DS ","")&amp;F220, wilayahfix!$A:$D, 2, 0), ""), user!$B:$D, 2, 0), "TIDAK KETEMU"))</f>
        <v/>
      </c>
      <c r="K220" s="39" t="str">
        <f>IF(E220="", "", IFERROR(VLOOKUP(IFERROR(VLOOKUP(SUBSTITUTE(E220,"DS ","")&amp;F220,#REF!, 2, 0), ""), user!$B:$D, 3, 0), ""))</f>
        <v/>
      </c>
    </row>
    <row r="221" spans="10:11" x14ac:dyDescent="0.25">
      <c r="J221" s="39"/>
      <c r="K221" s="39"/>
    </row>
    <row r="222" spans="10:11" x14ac:dyDescent="0.25">
      <c r="J222" s="39" t="str">
        <f>IF(E222="", "", IFERROR(VLOOKUP(IFERROR(VLOOKUP(SUBSTITUTE(E222,"DS ","")&amp;F222, wilayahfix!$A:$D, 2, 0), ""), user!$B:$D, 2, 0), "TIDAK KETEMU"))</f>
        <v/>
      </c>
      <c r="K222" s="39" t="str">
        <f>IF(E222="", "", IFERROR(VLOOKUP(IFERROR(VLOOKUP(SUBSTITUTE(E222,"DS ","")&amp;F222,#REF!, 2, 0), ""), user!$B:$D, 3, 0), ""))</f>
        <v/>
      </c>
    </row>
    <row r="223" spans="10:11" x14ac:dyDescent="0.25">
      <c r="J223" s="39"/>
      <c r="K223" s="39"/>
    </row>
    <row r="224" spans="10:11" x14ac:dyDescent="0.25">
      <c r="J224" s="39" t="str">
        <f>IF(E224="", "", IFERROR(VLOOKUP(IFERROR(VLOOKUP(SUBSTITUTE(E224,"DS ","")&amp;F224, wilayahfix!$A:$D, 2, 0), ""), user!$B:$D, 2, 0), "TIDAK KETEMU"))</f>
        <v/>
      </c>
      <c r="K224" s="39" t="str">
        <f>IF(E224="", "", IFERROR(VLOOKUP(IFERROR(VLOOKUP(SUBSTITUTE(E224,"DS ","")&amp;F224,#REF!, 2, 0), ""), user!$B:$D, 3, 0), ""))</f>
        <v/>
      </c>
    </row>
    <row r="225" spans="10:11" x14ac:dyDescent="0.25">
      <c r="J225" s="39"/>
      <c r="K225" s="39"/>
    </row>
    <row r="226" spans="10:11" x14ac:dyDescent="0.25">
      <c r="J226" s="39" t="str">
        <f>IF(E226="", "", IFERROR(VLOOKUP(IFERROR(VLOOKUP(SUBSTITUTE(E226,"DS ","")&amp;F226, wilayahfix!$A:$D, 2, 0), ""), user!$B:$D, 2, 0), "TIDAK KETEMU"))</f>
        <v/>
      </c>
      <c r="K226" s="39" t="str">
        <f>IF(E226="", "", IFERROR(VLOOKUP(IFERROR(VLOOKUP(SUBSTITUTE(E226,"DS ","")&amp;F226,#REF!, 2, 0), ""), user!$B:$D, 3, 0), ""))</f>
        <v/>
      </c>
    </row>
    <row r="227" spans="10:11" x14ac:dyDescent="0.25">
      <c r="J227" s="39"/>
      <c r="K227" s="39"/>
    </row>
    <row r="228" spans="10:11" x14ac:dyDescent="0.25">
      <c r="J228" s="39" t="str">
        <f>IF(E228="", "", IFERROR(VLOOKUP(IFERROR(VLOOKUP(SUBSTITUTE(E228,"DS ","")&amp;F228, wilayahfix!$A:$D, 2, 0), ""), user!$B:$D, 2, 0), "TIDAK KETEMU"))</f>
        <v/>
      </c>
      <c r="K228" s="39" t="str">
        <f>IF(E228="", "", IFERROR(VLOOKUP(IFERROR(VLOOKUP(SUBSTITUTE(E228,"DS ","")&amp;F228,#REF!, 2, 0), ""), user!$B:$D, 3, 0), ""))</f>
        <v/>
      </c>
    </row>
    <row r="229" spans="10:11" x14ac:dyDescent="0.25">
      <c r="J229" s="39"/>
      <c r="K229" s="39"/>
    </row>
    <row r="230" spans="10:11" x14ac:dyDescent="0.25">
      <c r="J230" s="39" t="str">
        <f>IF(E230="", "", IFERROR(VLOOKUP(IFERROR(VLOOKUP(SUBSTITUTE(E230,"DS ","")&amp;F230, wilayahfix!$A:$D, 2, 0), ""), user!$B:$D, 2, 0), "TIDAK KETEMU"))</f>
        <v/>
      </c>
      <c r="K230" s="39" t="str">
        <f>IF(E230="", "", IFERROR(VLOOKUP(IFERROR(VLOOKUP(SUBSTITUTE(E230,"DS ","")&amp;F230,#REF!, 2, 0), ""), user!$B:$D, 3, 0), ""))</f>
        <v/>
      </c>
    </row>
    <row r="231" spans="10:11" x14ac:dyDescent="0.25">
      <c r="J231" s="39"/>
      <c r="K231" s="39"/>
    </row>
    <row r="232" spans="10:11" x14ac:dyDescent="0.25">
      <c r="J232" s="39" t="str">
        <f>IF(E232="", "", IFERROR(VLOOKUP(IFERROR(VLOOKUP(SUBSTITUTE(E232,"DS ","")&amp;F232, wilayahfix!$A:$D, 2, 0), ""), user!$B:$D, 2, 0), "TIDAK KETEMU"))</f>
        <v/>
      </c>
      <c r="K232" s="39" t="str">
        <f>IF(E232="", "", IFERROR(VLOOKUP(IFERROR(VLOOKUP(SUBSTITUTE(E232,"DS ","")&amp;F232,#REF!, 2, 0), ""), user!$B:$D, 3, 0), ""))</f>
        <v/>
      </c>
    </row>
    <row r="233" spans="10:11" x14ac:dyDescent="0.25">
      <c r="J233" s="39"/>
      <c r="K233" s="39"/>
    </row>
    <row r="234" spans="10:11" x14ac:dyDescent="0.25">
      <c r="J234" s="39" t="str">
        <f>IF(E234="", "", IFERROR(VLOOKUP(IFERROR(VLOOKUP(SUBSTITUTE(E234,"DS ","")&amp;F234, wilayahfix!$A:$D, 2, 0), ""), user!$B:$D, 2, 0), "TIDAK KETEMU"))</f>
        <v/>
      </c>
      <c r="K234" s="39" t="str">
        <f>IF(E234="", "", IFERROR(VLOOKUP(IFERROR(VLOOKUP(SUBSTITUTE(E234,"DS ","")&amp;F234,#REF!, 2, 0), ""), user!$B:$D, 3, 0), ""))</f>
        <v/>
      </c>
    </row>
    <row r="235" spans="10:11" x14ac:dyDescent="0.25">
      <c r="J235" s="39"/>
      <c r="K235" s="39"/>
    </row>
    <row r="236" spans="10:11" x14ac:dyDescent="0.25">
      <c r="J236" s="39" t="str">
        <f>IF(E236="", "", IFERROR(VLOOKUP(IFERROR(VLOOKUP(SUBSTITUTE(E236,"DS ","")&amp;F236, wilayahfix!$A:$D, 2, 0), ""), user!$B:$D, 2, 0), "TIDAK KETEMU"))</f>
        <v/>
      </c>
      <c r="K236" s="39" t="str">
        <f>IF(E236="", "", IFERROR(VLOOKUP(IFERROR(VLOOKUP(SUBSTITUTE(E236,"DS ","")&amp;F236,#REF!, 2, 0), ""), user!$B:$D, 3, 0), ""))</f>
        <v/>
      </c>
    </row>
    <row r="237" spans="10:11" x14ac:dyDescent="0.25">
      <c r="J237" s="39"/>
      <c r="K237" s="39"/>
    </row>
    <row r="238" spans="10:11" x14ac:dyDescent="0.25">
      <c r="J238" s="39" t="str">
        <f>IF(E238="", "", IFERROR(VLOOKUP(IFERROR(VLOOKUP(SUBSTITUTE(E238,"DS ","")&amp;F238, wilayahfix!$A:$D, 2, 0), ""), user!$B:$D, 2, 0), "TIDAK KETEMU"))</f>
        <v/>
      </c>
      <c r="K238" s="39" t="str">
        <f>IF(E238="", "", IFERROR(VLOOKUP(IFERROR(VLOOKUP(SUBSTITUTE(E238,"DS ","")&amp;F238,#REF!, 2, 0), ""), user!$B:$D, 3, 0), ""))</f>
        <v/>
      </c>
    </row>
    <row r="239" spans="10:11" x14ac:dyDescent="0.25">
      <c r="J239" s="39"/>
      <c r="K239" s="39"/>
    </row>
    <row r="240" spans="10:11" x14ac:dyDescent="0.25">
      <c r="J240" s="39" t="str">
        <f>IF(E240="", "", IFERROR(VLOOKUP(IFERROR(VLOOKUP(SUBSTITUTE(E240,"DS ","")&amp;F240, wilayahfix!$A:$D, 2, 0), ""), user!$B:$D, 2, 0), "TIDAK KETEMU"))</f>
        <v/>
      </c>
      <c r="K240" s="39" t="str">
        <f>IF(E240="", "", IFERROR(VLOOKUP(IFERROR(VLOOKUP(SUBSTITUTE(E240,"DS ","")&amp;F240,#REF!, 2, 0), ""), user!$B:$D, 3, 0), ""))</f>
        <v/>
      </c>
    </row>
    <row r="241" spans="10:11" x14ac:dyDescent="0.25">
      <c r="J241" s="39"/>
      <c r="K241" s="39"/>
    </row>
    <row r="242" spans="10:11" x14ac:dyDescent="0.25">
      <c r="J242" s="39" t="str">
        <f>IF(E242="", "", IFERROR(VLOOKUP(IFERROR(VLOOKUP(SUBSTITUTE(E242,"DS ","")&amp;F242, wilayahfix!$A:$D, 2, 0), ""), user!$B:$D, 2, 0), "TIDAK KETEMU"))</f>
        <v/>
      </c>
      <c r="K242" s="39" t="str">
        <f>IF(E242="", "", IFERROR(VLOOKUP(IFERROR(VLOOKUP(SUBSTITUTE(E242,"DS ","")&amp;F242,#REF!, 2, 0), ""), user!$B:$D, 3, 0), ""))</f>
        <v/>
      </c>
    </row>
    <row r="243" spans="10:11" x14ac:dyDescent="0.25">
      <c r="J243" s="39"/>
      <c r="K243" s="39"/>
    </row>
    <row r="244" spans="10:11" x14ac:dyDescent="0.25">
      <c r="J244" s="39" t="str">
        <f>IF(E244="", "", IFERROR(VLOOKUP(IFERROR(VLOOKUP(SUBSTITUTE(E244,"DS ","")&amp;F244, wilayahfix!$A:$D, 2, 0), ""), user!$B:$D, 2, 0), "TIDAK KETEMU"))</f>
        <v/>
      </c>
      <c r="K244" s="39" t="str">
        <f>IF(E244="", "", IFERROR(VLOOKUP(IFERROR(VLOOKUP(SUBSTITUTE(E244,"DS ","")&amp;F244,#REF!, 2, 0), ""), user!$B:$D, 3, 0), ""))</f>
        <v/>
      </c>
    </row>
    <row r="245" spans="10:11" x14ac:dyDescent="0.25">
      <c r="J245" s="39"/>
      <c r="K245" s="39"/>
    </row>
    <row r="246" spans="10:11" x14ac:dyDescent="0.25">
      <c r="J246" s="39" t="str">
        <f>IF(E246="", "", IFERROR(VLOOKUP(IFERROR(VLOOKUP(SUBSTITUTE(E246,"DS ","")&amp;F246, wilayahfix!$A:$D, 2, 0), ""), user!$B:$D, 2, 0), "TIDAK KETEMU"))</f>
        <v/>
      </c>
      <c r="K246" s="39" t="str">
        <f>IF(E246="", "", IFERROR(VLOOKUP(IFERROR(VLOOKUP(SUBSTITUTE(E246,"DS ","")&amp;F246,#REF!, 2, 0), ""), user!$B:$D, 3, 0), ""))</f>
        <v/>
      </c>
    </row>
    <row r="247" spans="10:11" x14ac:dyDescent="0.25">
      <c r="J247" s="39"/>
      <c r="K247" s="39"/>
    </row>
    <row r="248" spans="10:11" x14ac:dyDescent="0.25">
      <c r="J248" s="39" t="str">
        <f>IF(E248="", "", IFERROR(VLOOKUP(IFERROR(VLOOKUP(SUBSTITUTE(E248,"DS ","")&amp;F248, wilayahfix!$A:$D, 2, 0), ""), user!$B:$D, 2, 0), "TIDAK KETEMU"))</f>
        <v/>
      </c>
      <c r="K248" s="39" t="str">
        <f>IF(E248="", "", IFERROR(VLOOKUP(IFERROR(VLOOKUP(SUBSTITUTE(E248,"DS ","")&amp;F248,#REF!, 2, 0), ""), user!$B:$D, 3, 0), ""))</f>
        <v/>
      </c>
    </row>
    <row r="249" spans="10:11" x14ac:dyDescent="0.25">
      <c r="J249" s="39"/>
      <c r="K249" s="39"/>
    </row>
    <row r="250" spans="10:11" x14ac:dyDescent="0.25">
      <c r="J250" s="39" t="str">
        <f>IF(E250="", "", IFERROR(VLOOKUP(IFERROR(VLOOKUP(SUBSTITUTE(E250,"DS ","")&amp;F250, wilayahfix!$A:$D, 2, 0), ""), user!$B:$D, 2, 0), "TIDAK KETEMU"))</f>
        <v/>
      </c>
      <c r="K250" s="39" t="str">
        <f>IF(E250="", "", IFERROR(VLOOKUP(IFERROR(VLOOKUP(SUBSTITUTE(E250,"DS ","")&amp;F250,#REF!, 2, 0), ""), user!$B:$D, 3, 0), ""))</f>
        <v/>
      </c>
    </row>
    <row r="251" spans="10:11" x14ac:dyDescent="0.25">
      <c r="J251" s="39"/>
      <c r="K251" s="39"/>
    </row>
    <row r="252" spans="10:11" x14ac:dyDescent="0.25">
      <c r="J252" s="39" t="str">
        <f>IF(E252="", "", IFERROR(VLOOKUP(IFERROR(VLOOKUP(SUBSTITUTE(E252,"DS ","")&amp;F252, wilayahfix!$A:$D, 2, 0), ""), user!$B:$D, 2, 0), "TIDAK KETEMU"))</f>
        <v/>
      </c>
      <c r="K252" s="39" t="str">
        <f>IF(E252="", "", IFERROR(VLOOKUP(IFERROR(VLOOKUP(SUBSTITUTE(E252,"DS ","")&amp;F252,#REF!, 2, 0), ""), user!$B:$D, 3, 0), ""))</f>
        <v/>
      </c>
    </row>
    <row r="253" spans="10:11" x14ac:dyDescent="0.25">
      <c r="J253" s="39"/>
      <c r="K253" s="39"/>
    </row>
    <row r="254" spans="10:11" x14ac:dyDescent="0.25">
      <c r="J254" s="39" t="str">
        <f>IF(E254="", "", IFERROR(VLOOKUP(IFERROR(VLOOKUP(SUBSTITUTE(E254,"DS ","")&amp;F254, wilayahfix!$A:$D, 2, 0), ""), user!$B:$D, 2, 0), "TIDAK KETEMU"))</f>
        <v/>
      </c>
      <c r="K254" s="39" t="str">
        <f>IF(E254="", "", IFERROR(VLOOKUP(IFERROR(VLOOKUP(SUBSTITUTE(E254,"DS ","")&amp;F254,#REF!, 2, 0), ""), user!$B:$D, 3, 0), ""))</f>
        <v/>
      </c>
    </row>
    <row r="255" spans="10:11" x14ac:dyDescent="0.25">
      <c r="J255" s="39"/>
      <c r="K255" s="39"/>
    </row>
    <row r="256" spans="10:11" x14ac:dyDescent="0.25">
      <c r="J256" s="39" t="str">
        <f>IF(E256="", "", IFERROR(VLOOKUP(IFERROR(VLOOKUP(SUBSTITUTE(E256,"DS ","")&amp;F256, wilayahfix!$A:$D, 2, 0), ""), user!$B:$D, 2, 0), "TIDAK KETEMU"))</f>
        <v/>
      </c>
      <c r="K256" s="39" t="str">
        <f>IF(E256="", "", IFERROR(VLOOKUP(IFERROR(VLOOKUP(SUBSTITUTE(E256,"DS ","")&amp;F256,#REF!, 2, 0), ""), user!$B:$D, 3, 0), ""))</f>
        <v/>
      </c>
    </row>
    <row r="257" spans="10:11" x14ac:dyDescent="0.25">
      <c r="J257" s="39"/>
      <c r="K257" s="39"/>
    </row>
    <row r="258" spans="10:11" x14ac:dyDescent="0.25">
      <c r="J258" s="39" t="str">
        <f>IF(E258="", "", IFERROR(VLOOKUP(IFERROR(VLOOKUP(SUBSTITUTE(E258,"DS ","")&amp;F258, wilayahfix!$A:$D, 2, 0), ""), user!$B:$D, 2, 0), "TIDAK KETEMU"))</f>
        <v/>
      </c>
      <c r="K258" s="39" t="str">
        <f>IF(E258="", "", IFERROR(VLOOKUP(IFERROR(VLOOKUP(SUBSTITUTE(E258,"DS ","")&amp;F258,#REF!, 2, 0), ""), user!$B:$D, 3, 0), ""))</f>
        <v/>
      </c>
    </row>
    <row r="259" spans="10:11" x14ac:dyDescent="0.25">
      <c r="J259" s="39"/>
      <c r="K259" s="39"/>
    </row>
    <row r="260" spans="10:11" x14ac:dyDescent="0.25">
      <c r="J260" s="39" t="str">
        <f>IF(E260="", "", IFERROR(VLOOKUP(IFERROR(VLOOKUP(SUBSTITUTE(E260,"DS ","")&amp;F260, wilayahfix!$A:$D, 2, 0), ""), user!$B:$D, 2, 0), "TIDAK KETEMU"))</f>
        <v/>
      </c>
      <c r="K260" s="39" t="str">
        <f>IF(E260="", "", IFERROR(VLOOKUP(IFERROR(VLOOKUP(SUBSTITUTE(E260,"DS ","")&amp;F260,#REF!, 2, 0), ""), user!$B:$D, 3, 0), ""))</f>
        <v/>
      </c>
    </row>
    <row r="261" spans="10:11" x14ac:dyDescent="0.25">
      <c r="J261" s="39"/>
      <c r="K261" s="39"/>
    </row>
    <row r="262" spans="10:11" x14ac:dyDescent="0.25">
      <c r="J262" s="39" t="str">
        <f>IF(E262="", "", IFERROR(VLOOKUP(IFERROR(VLOOKUP(SUBSTITUTE(E262,"DS ","")&amp;F262, wilayahfix!$A:$D, 2, 0), ""), user!$B:$D, 2, 0), "TIDAK KETEMU"))</f>
        <v/>
      </c>
      <c r="K262" s="39" t="str">
        <f>IF(E262="", "", IFERROR(VLOOKUP(IFERROR(VLOOKUP(SUBSTITUTE(E262,"DS ","")&amp;F262,#REF!, 2, 0), ""), user!$B:$D, 3, 0), ""))</f>
        <v/>
      </c>
    </row>
    <row r="263" spans="10:11" x14ac:dyDescent="0.25">
      <c r="J263" s="39"/>
      <c r="K263" s="39"/>
    </row>
    <row r="264" spans="10:11" x14ac:dyDescent="0.25">
      <c r="J264" s="39" t="str">
        <f>IF(E264="", "", IFERROR(VLOOKUP(IFERROR(VLOOKUP(SUBSTITUTE(E264,"DS ","")&amp;F264, wilayahfix!$A:$D, 2, 0), ""), user!$B:$D, 2, 0), "TIDAK KETEMU"))</f>
        <v/>
      </c>
      <c r="K264" s="39" t="str">
        <f>IF(E264="", "", IFERROR(VLOOKUP(IFERROR(VLOOKUP(SUBSTITUTE(E264,"DS ","")&amp;F264,#REF!, 2, 0), ""), user!$B:$D, 3, 0), ""))</f>
        <v/>
      </c>
    </row>
    <row r="265" spans="10:11" x14ac:dyDescent="0.25">
      <c r="J265" s="39"/>
      <c r="K265" s="39"/>
    </row>
    <row r="266" spans="10:11" x14ac:dyDescent="0.25">
      <c r="J266" s="39" t="str">
        <f>IF(E266="", "", IFERROR(VLOOKUP(IFERROR(VLOOKUP(SUBSTITUTE(E266,"DS ","")&amp;F266, wilayahfix!$A:$D, 2, 0), ""), user!$B:$D, 2, 0), "TIDAK KETEMU"))</f>
        <v/>
      </c>
      <c r="K266" s="39" t="str">
        <f>IF(E266="", "", IFERROR(VLOOKUP(IFERROR(VLOOKUP(SUBSTITUTE(E266,"DS ","")&amp;F266,#REF!, 2, 0), ""), user!$B:$D, 3, 0), ""))</f>
        <v/>
      </c>
    </row>
    <row r="267" spans="10:11" x14ac:dyDescent="0.25">
      <c r="J267" s="39"/>
      <c r="K267" s="39"/>
    </row>
    <row r="268" spans="10:11" x14ac:dyDescent="0.25">
      <c r="J268" s="39" t="str">
        <f>IF(E268="", "", IFERROR(VLOOKUP(IFERROR(VLOOKUP(SUBSTITUTE(E268,"DS ","")&amp;F268, wilayahfix!$A:$D, 2, 0), ""), user!$B:$D, 2, 0), "TIDAK KETEMU"))</f>
        <v/>
      </c>
      <c r="K268" s="39" t="str">
        <f>IF(E268="", "", IFERROR(VLOOKUP(IFERROR(VLOOKUP(SUBSTITUTE(E268,"DS ","")&amp;F268,#REF!, 2, 0), ""), user!$B:$D, 3, 0), ""))</f>
        <v/>
      </c>
    </row>
    <row r="269" spans="10:11" x14ac:dyDescent="0.25">
      <c r="J269" s="39"/>
      <c r="K269" s="39"/>
    </row>
    <row r="270" spans="10:11" x14ac:dyDescent="0.25">
      <c r="J270" s="39" t="str">
        <f>IF(E270="", "", IFERROR(VLOOKUP(IFERROR(VLOOKUP(SUBSTITUTE(E270,"DS ","")&amp;F270, wilayahfix!$A:$D, 2, 0), ""), user!$B:$D, 2, 0), "TIDAK KETEMU"))</f>
        <v/>
      </c>
      <c r="K270" s="39" t="str">
        <f>IF(E270="", "", IFERROR(VLOOKUP(IFERROR(VLOOKUP(SUBSTITUTE(E270,"DS ","")&amp;F270,#REF!, 2, 0), ""), user!$B:$D, 3, 0), ""))</f>
        <v/>
      </c>
    </row>
    <row r="271" spans="10:11" x14ac:dyDescent="0.25">
      <c r="J271" s="39"/>
      <c r="K271" s="39"/>
    </row>
    <row r="272" spans="10:11" x14ac:dyDescent="0.25">
      <c r="J272" s="39" t="str">
        <f>IF(E272="", "", IFERROR(VLOOKUP(IFERROR(VLOOKUP(SUBSTITUTE(E272,"DS ","")&amp;F272, wilayahfix!$A:$D, 2, 0), ""), user!$B:$D, 2, 0), "TIDAK KETEMU"))</f>
        <v/>
      </c>
      <c r="K272" s="39" t="str">
        <f>IF(E272="", "", IFERROR(VLOOKUP(IFERROR(VLOOKUP(SUBSTITUTE(E272,"DS ","")&amp;F272,#REF!, 2, 0), ""), user!$B:$D, 3, 0), ""))</f>
        <v/>
      </c>
    </row>
    <row r="273" spans="10:11" x14ac:dyDescent="0.25">
      <c r="J273" s="39"/>
      <c r="K273" s="39"/>
    </row>
    <row r="274" spans="10:11" x14ac:dyDescent="0.25">
      <c r="J274" s="39" t="str">
        <f>IF(E274="", "", IFERROR(VLOOKUP(IFERROR(VLOOKUP(SUBSTITUTE(E274,"DS ","")&amp;F274, wilayahfix!$A:$D, 2, 0), ""), user!$B:$D, 2, 0), "TIDAK KETEMU"))</f>
        <v/>
      </c>
      <c r="K274" s="39" t="str">
        <f>IF(E274="", "", IFERROR(VLOOKUP(IFERROR(VLOOKUP(SUBSTITUTE(E274,"DS ","")&amp;F274,#REF!, 2, 0), ""), user!$B:$D, 3, 0), ""))</f>
        <v/>
      </c>
    </row>
    <row r="275" spans="10:11" x14ac:dyDescent="0.25">
      <c r="J275" s="39"/>
      <c r="K275" s="39"/>
    </row>
    <row r="276" spans="10:11" x14ac:dyDescent="0.25">
      <c r="J276" s="39" t="str">
        <f>IF(E276="", "", IFERROR(VLOOKUP(IFERROR(VLOOKUP(SUBSTITUTE(E276,"DS ","")&amp;F276, wilayahfix!$A:$D, 2, 0), ""), user!$B:$D, 2, 0), "TIDAK KETEMU"))</f>
        <v/>
      </c>
      <c r="K276" s="39" t="str">
        <f>IF(E276="", "", IFERROR(VLOOKUP(IFERROR(VLOOKUP(SUBSTITUTE(E276,"DS ","")&amp;F276,#REF!, 2, 0), ""), user!$B:$D, 3, 0), ""))</f>
        <v/>
      </c>
    </row>
    <row r="277" spans="10:11" x14ac:dyDescent="0.25">
      <c r="J277" s="39"/>
      <c r="K277" s="39"/>
    </row>
    <row r="278" spans="10:11" x14ac:dyDescent="0.25">
      <c r="J278" s="39" t="str">
        <f>IF(E278="", "", IFERROR(VLOOKUP(IFERROR(VLOOKUP(SUBSTITUTE(E278,"DS ","")&amp;F278, wilayahfix!$A:$D, 2, 0), ""), user!$B:$D, 2, 0), "TIDAK KETEMU"))</f>
        <v/>
      </c>
      <c r="K278" s="39" t="str">
        <f>IF(E278="", "", IFERROR(VLOOKUP(IFERROR(VLOOKUP(SUBSTITUTE(E278,"DS ","")&amp;F278,#REF!, 2, 0), ""), user!$B:$D, 3, 0), ""))</f>
        <v/>
      </c>
    </row>
    <row r="279" spans="10:11" x14ac:dyDescent="0.25">
      <c r="J279" s="39"/>
      <c r="K279" s="39"/>
    </row>
    <row r="280" spans="10:11" x14ac:dyDescent="0.25">
      <c r="J280" s="39" t="str">
        <f>IF(E280="", "", IFERROR(VLOOKUP(IFERROR(VLOOKUP(SUBSTITUTE(E280,"DS ","")&amp;F280, wilayahfix!$A:$D, 2, 0), ""), user!$B:$D, 2, 0), "TIDAK KETEMU"))</f>
        <v/>
      </c>
      <c r="K280" s="39" t="str">
        <f>IF(E280="", "", IFERROR(VLOOKUP(IFERROR(VLOOKUP(SUBSTITUTE(E280,"DS ","")&amp;F280,#REF!, 2, 0), ""), user!$B:$D, 3, 0), ""))</f>
        <v/>
      </c>
    </row>
    <row r="281" spans="10:11" x14ac:dyDescent="0.25">
      <c r="J281" s="39"/>
      <c r="K281" s="39"/>
    </row>
    <row r="282" spans="10:11" x14ac:dyDescent="0.25">
      <c r="J282" s="39" t="str">
        <f>IF(E282="", "", IFERROR(VLOOKUP(IFERROR(VLOOKUP(SUBSTITUTE(E282,"DS ","")&amp;F282, wilayahfix!$A:$D, 2, 0), ""), user!$B:$D, 2, 0), "TIDAK KETEMU"))</f>
        <v/>
      </c>
      <c r="K282" s="39" t="str">
        <f>IF(E282="", "", IFERROR(VLOOKUP(IFERROR(VLOOKUP(SUBSTITUTE(E282,"DS ","")&amp;F282,#REF!, 2, 0), ""), user!$B:$D, 3, 0), ""))</f>
        <v/>
      </c>
    </row>
    <row r="283" spans="10:11" x14ac:dyDescent="0.25">
      <c r="J283" s="39"/>
      <c r="K283" s="39"/>
    </row>
    <row r="284" spans="10:11" x14ac:dyDescent="0.25">
      <c r="J284" s="39" t="str">
        <f>IF(E284="", "", IFERROR(VLOOKUP(IFERROR(VLOOKUP(SUBSTITUTE(E284,"DS ","")&amp;F284, wilayahfix!$A:$D, 2, 0), ""), user!$B:$D, 2, 0), "TIDAK KETEMU"))</f>
        <v/>
      </c>
      <c r="K284" s="39" t="str">
        <f>IF(E284="", "", IFERROR(VLOOKUP(IFERROR(VLOOKUP(SUBSTITUTE(E284,"DS ","")&amp;F284,#REF!, 2, 0), ""), user!$B:$D, 3, 0), ""))</f>
        <v/>
      </c>
    </row>
    <row r="285" spans="10:11" x14ac:dyDescent="0.25">
      <c r="J285" s="39"/>
      <c r="K285" s="39"/>
    </row>
    <row r="286" spans="10:11" x14ac:dyDescent="0.25">
      <c r="J286" s="39" t="str">
        <f>IF(E286="", "", IFERROR(VLOOKUP(IFERROR(VLOOKUP(SUBSTITUTE(E286,"DS ","")&amp;F286, wilayahfix!$A:$D, 2, 0), ""), user!$B:$D, 2, 0), "TIDAK KETEMU"))</f>
        <v/>
      </c>
      <c r="K286" s="39" t="str">
        <f>IF(E286="", "", IFERROR(VLOOKUP(IFERROR(VLOOKUP(SUBSTITUTE(E286,"DS ","")&amp;F286,#REF!, 2, 0), ""), user!$B:$D, 3, 0), ""))</f>
        <v/>
      </c>
    </row>
    <row r="287" spans="10:11" x14ac:dyDescent="0.25">
      <c r="J287" s="39"/>
      <c r="K287" s="39"/>
    </row>
    <row r="288" spans="10:11" x14ac:dyDescent="0.25">
      <c r="J288" s="39" t="str">
        <f>IF(E288="", "", IFERROR(VLOOKUP(IFERROR(VLOOKUP(SUBSTITUTE(E288,"DS ","")&amp;F288, wilayahfix!$A:$D, 2, 0), ""), user!$B:$D, 2, 0), "TIDAK KETEMU"))</f>
        <v/>
      </c>
      <c r="K288" s="39" t="str">
        <f>IF(E288="", "", IFERROR(VLOOKUP(IFERROR(VLOOKUP(SUBSTITUTE(E288,"DS ","")&amp;F288,#REF!, 2, 0), ""), user!$B:$D, 3, 0), ""))</f>
        <v/>
      </c>
    </row>
    <row r="289" spans="10:11" x14ac:dyDescent="0.25">
      <c r="J289" s="39"/>
      <c r="K289" s="39"/>
    </row>
    <row r="290" spans="10:11" x14ac:dyDescent="0.25">
      <c r="J290" s="39" t="str">
        <f>IF(E290="", "", IFERROR(VLOOKUP(IFERROR(VLOOKUP(SUBSTITUTE(E290,"DS ","")&amp;F290, wilayahfix!$A:$D, 2, 0), ""), user!$B:$D, 2, 0), "TIDAK KETEMU"))</f>
        <v/>
      </c>
      <c r="K290" s="39" t="str">
        <f>IF(E290="", "", IFERROR(VLOOKUP(IFERROR(VLOOKUP(SUBSTITUTE(E290,"DS ","")&amp;F290,#REF!, 2, 0), ""), user!$B:$D, 3, 0), ""))</f>
        <v/>
      </c>
    </row>
    <row r="291" spans="10:11" x14ac:dyDescent="0.25">
      <c r="J291" s="39"/>
      <c r="K291" s="39"/>
    </row>
    <row r="292" spans="10:11" x14ac:dyDescent="0.25">
      <c r="J292" s="39" t="str">
        <f>IF(E292="", "", IFERROR(VLOOKUP(IFERROR(VLOOKUP(SUBSTITUTE(E292,"DS ","")&amp;F292, wilayahfix!$A:$D, 2, 0), ""), user!$B:$D, 2, 0), "TIDAK KETEMU"))</f>
        <v/>
      </c>
      <c r="K292" s="39" t="str">
        <f>IF(E292="", "", IFERROR(VLOOKUP(IFERROR(VLOOKUP(SUBSTITUTE(E292,"DS ","")&amp;F292,#REF!, 2, 0), ""), user!$B:$D, 3, 0), ""))</f>
        <v/>
      </c>
    </row>
    <row r="293" spans="10:11" x14ac:dyDescent="0.25">
      <c r="J293" s="39"/>
      <c r="K293" s="39"/>
    </row>
    <row r="294" spans="10:11" x14ac:dyDescent="0.25">
      <c r="J294" s="39" t="str">
        <f>IF(E294="", "", IFERROR(VLOOKUP(IFERROR(VLOOKUP(SUBSTITUTE(E294,"DS ","")&amp;F294, wilayahfix!$A:$D, 2, 0), ""), user!$B:$D, 2, 0), "TIDAK KETEMU"))</f>
        <v/>
      </c>
      <c r="K294" s="39" t="str">
        <f>IF(E294="", "", IFERROR(VLOOKUP(IFERROR(VLOOKUP(SUBSTITUTE(E294,"DS ","")&amp;F294,#REF!, 2, 0), ""), user!$B:$D, 3, 0), ""))</f>
        <v/>
      </c>
    </row>
    <row r="295" spans="10:11" x14ac:dyDescent="0.25">
      <c r="J295" s="39"/>
      <c r="K295" s="39"/>
    </row>
    <row r="296" spans="10:11" x14ac:dyDescent="0.25">
      <c r="J296" s="39" t="str">
        <f>IF(E296="", "", IFERROR(VLOOKUP(IFERROR(VLOOKUP(SUBSTITUTE(E296,"DS ","")&amp;F296, wilayahfix!$A:$D, 2, 0), ""), user!$B:$D, 2, 0), "TIDAK KETEMU"))</f>
        <v/>
      </c>
      <c r="K296" s="39" t="str">
        <f>IF(E296="", "", IFERROR(VLOOKUP(IFERROR(VLOOKUP(SUBSTITUTE(E296,"DS ","")&amp;F296,#REF!, 2, 0), ""), user!$B:$D, 3, 0), ""))</f>
        <v/>
      </c>
    </row>
    <row r="297" spans="10:11" x14ac:dyDescent="0.25">
      <c r="J297" s="39"/>
      <c r="K297" s="39"/>
    </row>
    <row r="298" spans="10:11" x14ac:dyDescent="0.25">
      <c r="J298" s="39" t="str">
        <f>IF(E298="", "", IFERROR(VLOOKUP(IFERROR(VLOOKUP(SUBSTITUTE(E298,"DS ","")&amp;F298, wilayahfix!$A:$D, 2, 0), ""), user!$B:$D, 2, 0), "TIDAK KETEMU"))</f>
        <v/>
      </c>
      <c r="K298" s="39" t="str">
        <f>IF(E298="", "", IFERROR(VLOOKUP(IFERROR(VLOOKUP(SUBSTITUTE(E298,"DS ","")&amp;F298,#REF!, 2, 0), ""), user!$B:$D, 3, 0), ""))</f>
        <v/>
      </c>
    </row>
    <row r="299" spans="10:11" x14ac:dyDescent="0.25">
      <c r="J299" s="39"/>
      <c r="K299" s="39"/>
    </row>
    <row r="300" spans="10:11" x14ac:dyDescent="0.25">
      <c r="J300" s="39" t="str">
        <f>IF(E300="", "", IFERROR(VLOOKUP(IFERROR(VLOOKUP(SUBSTITUTE(E300,"DS ","")&amp;F300, wilayahfix!$A:$D, 2, 0), ""), user!$B:$D, 2, 0), "TIDAK KETEMU"))</f>
        <v/>
      </c>
      <c r="K300" s="39" t="str">
        <f>IF(E300="", "", IFERROR(VLOOKUP(IFERROR(VLOOKUP(SUBSTITUTE(E300,"DS ","")&amp;F300,#REF!, 2, 0), ""), user!$B:$D, 3, 0), ""))</f>
        <v/>
      </c>
    </row>
    <row r="301" spans="10:11" x14ac:dyDescent="0.25">
      <c r="J301" s="39"/>
      <c r="K301" s="39"/>
    </row>
    <row r="302" spans="10:11" x14ac:dyDescent="0.25">
      <c r="J302" s="39" t="str">
        <f>IF(E302="", "", IFERROR(VLOOKUP(IFERROR(VLOOKUP(SUBSTITUTE(E302,"DS ","")&amp;F302, wilayahfix!$A:$D, 2, 0), ""), user!$B:$D, 2, 0), "TIDAK KETEMU"))</f>
        <v/>
      </c>
      <c r="K302" s="39" t="str">
        <f>IF(E302="", "", IFERROR(VLOOKUP(IFERROR(VLOOKUP(SUBSTITUTE(E302,"DS ","")&amp;F302,#REF!, 2, 0), ""), user!$B:$D, 3, 0), ""))</f>
        <v/>
      </c>
    </row>
    <row r="303" spans="10:11" x14ac:dyDescent="0.25">
      <c r="J303" s="39"/>
      <c r="K303" s="39"/>
    </row>
    <row r="304" spans="10:11" x14ac:dyDescent="0.25">
      <c r="J304" s="39" t="str">
        <f>IF(E304="", "", IFERROR(VLOOKUP(IFERROR(VLOOKUP(SUBSTITUTE(E304,"DS ","")&amp;F304, wilayahfix!$A:$D, 2, 0), ""), user!$B:$D, 2, 0), "TIDAK KETEMU"))</f>
        <v/>
      </c>
      <c r="K304" s="39" t="str">
        <f>IF(E304="", "", IFERROR(VLOOKUP(IFERROR(VLOOKUP(SUBSTITUTE(E304,"DS ","")&amp;F304,#REF!, 2, 0), ""), user!$B:$D, 3, 0), ""))</f>
        <v/>
      </c>
    </row>
    <row r="305" spans="10:11" x14ac:dyDescent="0.25">
      <c r="J305" s="39"/>
      <c r="K305" s="39"/>
    </row>
    <row r="306" spans="10:11" x14ac:dyDescent="0.25">
      <c r="J306" s="39" t="str">
        <f>IF(E306="", "", IFERROR(VLOOKUP(IFERROR(VLOOKUP(SUBSTITUTE(E306,"DS ","")&amp;F306, wilayahfix!$A:$D, 2, 0), ""), user!$B:$D, 2, 0), "TIDAK KETEMU"))</f>
        <v/>
      </c>
      <c r="K306" s="39" t="str">
        <f>IF(E306="", "", IFERROR(VLOOKUP(IFERROR(VLOOKUP(SUBSTITUTE(E306,"DS ","")&amp;F306,#REF!, 2, 0), ""), user!$B:$D, 3, 0), ""))</f>
        <v/>
      </c>
    </row>
    <row r="307" spans="10:11" x14ac:dyDescent="0.25">
      <c r="J307" s="39"/>
      <c r="K307" s="39"/>
    </row>
    <row r="308" spans="10:11" x14ac:dyDescent="0.25">
      <c r="J308" s="39" t="str">
        <f>IF(E308="", "", IFERROR(VLOOKUP(IFERROR(VLOOKUP(SUBSTITUTE(E308,"DS ","")&amp;F308, wilayahfix!$A:$D, 2, 0), ""), user!$B:$D, 2, 0), "TIDAK KETEMU"))</f>
        <v/>
      </c>
      <c r="K308" s="39" t="str">
        <f>IF(E308="", "", IFERROR(VLOOKUP(IFERROR(VLOOKUP(SUBSTITUTE(E308,"DS ","")&amp;F308,#REF!, 2, 0), ""), user!$B:$D, 3, 0), ""))</f>
        <v/>
      </c>
    </row>
    <row r="309" spans="10:11" x14ac:dyDescent="0.25">
      <c r="J309" s="39"/>
      <c r="K309" s="39"/>
    </row>
    <row r="310" spans="10:11" x14ac:dyDescent="0.25">
      <c r="J310" s="39" t="str">
        <f>IF(E310="", "", IFERROR(VLOOKUP(IFERROR(VLOOKUP(SUBSTITUTE(E310,"DS ","")&amp;F310, wilayahfix!$A:$D, 2, 0), ""), user!$B:$D, 2, 0), "TIDAK KETEMU"))</f>
        <v/>
      </c>
      <c r="K310" s="39" t="str">
        <f>IF(E310="", "", IFERROR(VLOOKUP(IFERROR(VLOOKUP(SUBSTITUTE(E310,"DS ","")&amp;F310,#REF!, 2, 0), ""), user!$B:$D, 3, 0), ""))</f>
        <v/>
      </c>
    </row>
    <row r="311" spans="10:11" x14ac:dyDescent="0.25">
      <c r="J311" s="39"/>
      <c r="K311" s="39"/>
    </row>
    <row r="312" spans="10:11" x14ac:dyDescent="0.25">
      <c r="J312" s="39" t="str">
        <f>IF(E312="", "", IFERROR(VLOOKUP(IFERROR(VLOOKUP(SUBSTITUTE(E312,"DS ","")&amp;F312, wilayahfix!$A:$D, 2, 0), ""), user!$B:$D, 2, 0), "TIDAK KETEMU"))</f>
        <v/>
      </c>
      <c r="K312" s="39" t="str">
        <f>IF(E312="", "", IFERROR(VLOOKUP(IFERROR(VLOOKUP(SUBSTITUTE(E312,"DS ","")&amp;F312,#REF!, 2, 0), ""), user!$B:$D, 3, 0), ""))</f>
        <v/>
      </c>
    </row>
    <row r="313" spans="10:11" x14ac:dyDescent="0.25">
      <c r="J313" s="39"/>
      <c r="K313" s="39"/>
    </row>
    <row r="314" spans="10:11" x14ac:dyDescent="0.25">
      <c r="J314" s="39" t="str">
        <f>IF(E314="", "", IFERROR(VLOOKUP(IFERROR(VLOOKUP(SUBSTITUTE(E314,"DS ","")&amp;F314, wilayahfix!$A:$D, 2, 0), ""), user!$B:$D, 2, 0), "TIDAK KETEMU"))</f>
        <v/>
      </c>
      <c r="K314" s="39" t="str">
        <f>IF(E314="", "", IFERROR(VLOOKUP(IFERROR(VLOOKUP(SUBSTITUTE(E314,"DS ","")&amp;F314,#REF!, 2, 0), ""), user!$B:$D, 3, 0), ""))</f>
        <v/>
      </c>
    </row>
    <row r="315" spans="10:11" x14ac:dyDescent="0.25">
      <c r="J315" s="39"/>
      <c r="K315" s="39"/>
    </row>
    <row r="316" spans="10:11" x14ac:dyDescent="0.25">
      <c r="J316" s="39" t="str">
        <f>IF(E316="", "", IFERROR(VLOOKUP(IFERROR(VLOOKUP(SUBSTITUTE(E316,"DS ","")&amp;F316, wilayahfix!$A:$D, 2, 0), ""), user!$B:$D, 2, 0), "TIDAK KETEMU"))</f>
        <v/>
      </c>
      <c r="K316" s="39" t="str">
        <f>IF(E316="", "", IFERROR(VLOOKUP(IFERROR(VLOOKUP(SUBSTITUTE(E316,"DS ","")&amp;F316,#REF!, 2, 0), ""), user!$B:$D, 3, 0), ""))</f>
        <v/>
      </c>
    </row>
    <row r="317" spans="10:11" x14ac:dyDescent="0.25">
      <c r="J317" s="39"/>
      <c r="K317" s="39"/>
    </row>
    <row r="318" spans="10:11" x14ac:dyDescent="0.25">
      <c r="J318" s="39" t="str">
        <f>IF(E318="", "", IFERROR(VLOOKUP(IFERROR(VLOOKUP(SUBSTITUTE(E318,"DS ","")&amp;F318, wilayahfix!$A:$D, 2, 0), ""), user!$B:$D, 2, 0), "TIDAK KETEMU"))</f>
        <v/>
      </c>
      <c r="K318" s="39" t="str">
        <f>IF(E318="", "", IFERROR(VLOOKUP(IFERROR(VLOOKUP(SUBSTITUTE(E318,"DS ","")&amp;F318,#REF!, 2, 0), ""), user!$B:$D, 3, 0), ""))</f>
        <v/>
      </c>
    </row>
    <row r="319" spans="10:11" x14ac:dyDescent="0.25">
      <c r="J319" s="39"/>
      <c r="K319" s="39"/>
    </row>
    <row r="320" spans="10:11" x14ac:dyDescent="0.25">
      <c r="J320" s="39" t="str">
        <f>IF(E320="", "", IFERROR(VLOOKUP(IFERROR(VLOOKUP(SUBSTITUTE(E320,"DS ","")&amp;F320, wilayahfix!$A:$D, 2, 0), ""), user!$B:$D, 2, 0), "TIDAK KETEMU"))</f>
        <v/>
      </c>
      <c r="K320" s="39" t="str">
        <f>IF(E320="", "", IFERROR(VLOOKUP(IFERROR(VLOOKUP(SUBSTITUTE(E320,"DS ","")&amp;F320,#REF!, 2, 0), ""), user!$B:$D, 3, 0), ""))</f>
        <v/>
      </c>
    </row>
    <row r="321" spans="10:11" x14ac:dyDescent="0.25">
      <c r="J321" s="39"/>
      <c r="K321" s="39"/>
    </row>
    <row r="322" spans="10:11" x14ac:dyDescent="0.25">
      <c r="J322" s="39" t="str">
        <f>IF(E322="", "", IFERROR(VLOOKUP(IFERROR(VLOOKUP(SUBSTITUTE(E322,"DS ","")&amp;F322, wilayahfix!$A:$D, 2, 0), ""), user!$B:$D, 2, 0), "TIDAK KETEMU"))</f>
        <v/>
      </c>
      <c r="K322" s="39" t="str">
        <f>IF(E322="", "", IFERROR(VLOOKUP(IFERROR(VLOOKUP(SUBSTITUTE(E322,"DS ","")&amp;F322,#REF!, 2, 0), ""), user!$B:$D, 3, 0), ""))</f>
        <v/>
      </c>
    </row>
    <row r="323" spans="10:11" x14ac:dyDescent="0.25">
      <c r="J323" s="39"/>
      <c r="K323" s="39"/>
    </row>
    <row r="324" spans="10:11" x14ac:dyDescent="0.25">
      <c r="J324" s="39" t="str">
        <f>IF(E324="", "", IFERROR(VLOOKUP(IFERROR(VLOOKUP(SUBSTITUTE(E324,"DS ","")&amp;F324, wilayahfix!$A:$D, 2, 0), ""), user!$B:$D, 2, 0), "TIDAK KETEMU"))</f>
        <v/>
      </c>
      <c r="K324" s="39" t="str">
        <f>IF(E324="", "", IFERROR(VLOOKUP(IFERROR(VLOOKUP(SUBSTITUTE(E324,"DS ","")&amp;F324,#REF!, 2, 0), ""), user!$B:$D, 3, 0), ""))</f>
        <v/>
      </c>
    </row>
    <row r="325" spans="10:11" x14ac:dyDescent="0.25">
      <c r="J325" s="39"/>
      <c r="K325" s="39"/>
    </row>
    <row r="326" spans="10:11" x14ac:dyDescent="0.25">
      <c r="J326" s="39" t="str">
        <f>IF(E326="", "", IFERROR(VLOOKUP(IFERROR(VLOOKUP(SUBSTITUTE(E326,"DS ","")&amp;F326, wilayahfix!$A:$D, 2, 0), ""), user!$B:$D, 2, 0), "TIDAK KETEMU"))</f>
        <v/>
      </c>
      <c r="K326" s="39" t="str">
        <f>IF(E326="", "", IFERROR(VLOOKUP(IFERROR(VLOOKUP(SUBSTITUTE(E326,"DS ","")&amp;F326,#REF!, 2, 0), ""), user!$B:$D, 3, 0), ""))</f>
        <v/>
      </c>
    </row>
    <row r="327" spans="10:11" x14ac:dyDescent="0.25">
      <c r="J327" s="39"/>
      <c r="K327" s="39"/>
    </row>
    <row r="328" spans="10:11" x14ac:dyDescent="0.25">
      <c r="J328" s="39" t="str">
        <f>IF(E328="", "", IFERROR(VLOOKUP(IFERROR(VLOOKUP(SUBSTITUTE(E328,"DS ","")&amp;F328, wilayahfix!$A:$D, 2, 0), ""), user!$B:$D, 2, 0), "TIDAK KETEMU"))</f>
        <v/>
      </c>
      <c r="K328" s="39" t="str">
        <f>IF(E328="", "", IFERROR(VLOOKUP(IFERROR(VLOOKUP(SUBSTITUTE(E328,"DS ","")&amp;F328,#REF!, 2, 0), ""), user!$B:$D, 3, 0), ""))</f>
        <v/>
      </c>
    </row>
    <row r="329" spans="10:11" x14ac:dyDescent="0.25">
      <c r="J329" s="39"/>
      <c r="K329" s="39"/>
    </row>
    <row r="330" spans="10:11" x14ac:dyDescent="0.25">
      <c r="J330" s="39" t="str">
        <f>IF(E330="", "", IFERROR(VLOOKUP(IFERROR(VLOOKUP(SUBSTITUTE(E330,"DS ","")&amp;F330, wilayahfix!$A:$D, 2, 0), ""), user!$B:$D, 2, 0), "TIDAK KETEMU"))</f>
        <v/>
      </c>
      <c r="K330" s="39" t="str">
        <f>IF(E330="", "", IFERROR(VLOOKUP(IFERROR(VLOOKUP(SUBSTITUTE(E330,"DS ","")&amp;F330,#REF!, 2, 0), ""), user!$B:$D, 3, 0), ""))</f>
        <v/>
      </c>
    </row>
    <row r="331" spans="10:11" x14ac:dyDescent="0.25">
      <c r="J331" s="39"/>
      <c r="K331" s="39"/>
    </row>
    <row r="332" spans="10:11" x14ac:dyDescent="0.25">
      <c r="J332" s="39" t="str">
        <f>IF(E332="", "", IFERROR(VLOOKUP(IFERROR(VLOOKUP(SUBSTITUTE(E332,"DS ","")&amp;F332, wilayahfix!$A:$D, 2, 0), ""), user!$B:$D, 2, 0), "TIDAK KETEMU"))</f>
        <v/>
      </c>
      <c r="K332" s="39" t="str">
        <f>IF(E332="", "", IFERROR(VLOOKUP(IFERROR(VLOOKUP(SUBSTITUTE(E332,"DS ","")&amp;F332,#REF!, 2, 0), ""), user!$B:$D, 3, 0), ""))</f>
        <v/>
      </c>
    </row>
    <row r="333" spans="10:11" x14ac:dyDescent="0.25">
      <c r="J333" s="39"/>
      <c r="K333" s="39"/>
    </row>
    <row r="334" spans="10:11" x14ac:dyDescent="0.25">
      <c r="J334" s="39" t="str">
        <f>IF(E334="", "", IFERROR(VLOOKUP(IFERROR(VLOOKUP(SUBSTITUTE(E334,"DS ","")&amp;F334, wilayahfix!$A:$D, 2, 0), ""), user!$B:$D, 2, 0), "TIDAK KETEMU"))</f>
        <v/>
      </c>
      <c r="K334" s="39" t="str">
        <f>IF(E334="", "", IFERROR(VLOOKUP(IFERROR(VLOOKUP(SUBSTITUTE(E334,"DS ","")&amp;F334,#REF!, 2, 0), ""), user!$B:$D, 3, 0), ""))</f>
        <v/>
      </c>
    </row>
    <row r="335" spans="10:11" x14ac:dyDescent="0.25">
      <c r="J335" s="39"/>
      <c r="K335" s="39"/>
    </row>
    <row r="336" spans="10:11" x14ac:dyDescent="0.25">
      <c r="J336" s="39" t="str">
        <f>IF(E336="", "", IFERROR(VLOOKUP(IFERROR(VLOOKUP(SUBSTITUTE(E336,"DS ","")&amp;F336, wilayahfix!$A:$D, 2, 0), ""), user!$B:$D, 2, 0), "TIDAK KETEMU"))</f>
        <v/>
      </c>
      <c r="K336" s="39" t="str">
        <f>IF(E336="", "", IFERROR(VLOOKUP(IFERROR(VLOOKUP(SUBSTITUTE(E336,"DS ","")&amp;F336,#REF!, 2, 0), ""), user!$B:$D, 3, 0), ""))</f>
        <v/>
      </c>
    </row>
    <row r="337" spans="10:11" x14ac:dyDescent="0.25">
      <c r="J337" s="39"/>
      <c r="K337" s="39"/>
    </row>
    <row r="338" spans="10:11" x14ac:dyDescent="0.25">
      <c r="J338" s="39" t="str">
        <f>IF(E338="", "", IFERROR(VLOOKUP(IFERROR(VLOOKUP(SUBSTITUTE(E338,"DS ","")&amp;F338, wilayahfix!$A:$D, 2, 0), ""), user!$B:$D, 2, 0), "TIDAK KETEMU"))</f>
        <v/>
      </c>
      <c r="K338" s="39" t="str">
        <f>IF(E338="", "", IFERROR(VLOOKUP(IFERROR(VLOOKUP(SUBSTITUTE(E338,"DS ","")&amp;F338,#REF!, 2, 0), ""), user!$B:$D, 3, 0), ""))</f>
        <v/>
      </c>
    </row>
    <row r="339" spans="10:11" x14ac:dyDescent="0.25">
      <c r="J339" s="39"/>
      <c r="K339" s="39"/>
    </row>
    <row r="340" spans="10:11" x14ac:dyDescent="0.25">
      <c r="J340" s="39" t="str">
        <f>IF(E340="", "", IFERROR(VLOOKUP(IFERROR(VLOOKUP(SUBSTITUTE(E340,"DS ","")&amp;F340, wilayahfix!$A:$D, 2, 0), ""), user!$B:$D, 2, 0), "TIDAK KETEMU"))</f>
        <v/>
      </c>
      <c r="K340" s="39" t="str">
        <f>IF(E340="", "", IFERROR(VLOOKUP(IFERROR(VLOOKUP(SUBSTITUTE(E340,"DS ","")&amp;F340,#REF!, 2, 0), ""), user!$B:$D, 3, 0), ""))</f>
        <v/>
      </c>
    </row>
    <row r="341" spans="10:11" x14ac:dyDescent="0.25">
      <c r="J341" s="39"/>
      <c r="K341" s="39"/>
    </row>
    <row r="342" spans="10:11" x14ac:dyDescent="0.25">
      <c r="J342" s="39" t="str">
        <f>IF(E342="", "", IFERROR(VLOOKUP(IFERROR(VLOOKUP(SUBSTITUTE(E342,"DS ","")&amp;F342, wilayahfix!$A:$D, 2, 0), ""), user!$B:$D, 2, 0), "TIDAK KETEMU"))</f>
        <v/>
      </c>
      <c r="K342" s="39" t="str">
        <f>IF(E342="", "", IFERROR(VLOOKUP(IFERROR(VLOOKUP(SUBSTITUTE(E342,"DS ","")&amp;F342,#REF!, 2, 0), ""), user!$B:$D, 3, 0), ""))</f>
        <v/>
      </c>
    </row>
    <row r="343" spans="10:11" x14ac:dyDescent="0.25">
      <c r="J343" s="39"/>
      <c r="K343" s="39"/>
    </row>
    <row r="344" spans="10:11" x14ac:dyDescent="0.25">
      <c r="J344" s="39" t="str">
        <f>IF(E344="", "", IFERROR(VLOOKUP(IFERROR(VLOOKUP(SUBSTITUTE(E344,"DS ","")&amp;F344, wilayahfix!$A:$D, 2, 0), ""), user!$B:$D, 2, 0), "TIDAK KETEMU"))</f>
        <v/>
      </c>
      <c r="K344" s="39" t="str">
        <f>IF(E344="", "", IFERROR(VLOOKUP(IFERROR(VLOOKUP(SUBSTITUTE(E344,"DS ","")&amp;F344,#REF!, 2, 0), ""), user!$B:$D, 3, 0), ""))</f>
        <v/>
      </c>
    </row>
    <row r="345" spans="10:11" x14ac:dyDescent="0.25">
      <c r="J345" s="39"/>
      <c r="K345" s="39"/>
    </row>
    <row r="346" spans="10:11" x14ac:dyDescent="0.25">
      <c r="J346" s="39" t="str">
        <f>IF(E346="", "", IFERROR(VLOOKUP(IFERROR(VLOOKUP(SUBSTITUTE(E346,"DS ","")&amp;F346, wilayahfix!$A:$D, 2, 0), ""), user!$B:$D, 2, 0), "TIDAK KETEMU"))</f>
        <v/>
      </c>
      <c r="K346" s="39" t="str">
        <f>IF(E346="", "", IFERROR(VLOOKUP(IFERROR(VLOOKUP(SUBSTITUTE(E346,"DS ","")&amp;F346,#REF!, 2, 0), ""), user!$B:$D, 3, 0), ""))</f>
        <v/>
      </c>
    </row>
    <row r="347" spans="10:11" x14ac:dyDescent="0.25">
      <c r="J347" s="39"/>
      <c r="K347" s="39"/>
    </row>
    <row r="348" spans="10:11" x14ac:dyDescent="0.25">
      <c r="J348" s="39" t="str">
        <f>IF(E348="", "", IFERROR(VLOOKUP(IFERROR(VLOOKUP(SUBSTITUTE(E348,"DS ","")&amp;F348, wilayahfix!$A:$D, 2, 0), ""), user!$B:$D, 2, 0), "TIDAK KETEMU"))</f>
        <v/>
      </c>
      <c r="K348" s="39" t="str">
        <f>IF(E348="", "", IFERROR(VLOOKUP(IFERROR(VLOOKUP(SUBSTITUTE(E348,"DS ","")&amp;F348,#REF!, 2, 0), ""), user!$B:$D, 3, 0), ""))</f>
        <v/>
      </c>
    </row>
    <row r="349" spans="10:11" x14ac:dyDescent="0.25">
      <c r="J349" s="39"/>
      <c r="K349" s="39"/>
    </row>
    <row r="350" spans="10:11" x14ac:dyDescent="0.25">
      <c r="J350" s="39" t="str">
        <f>IF(E350="", "", IFERROR(VLOOKUP(IFERROR(VLOOKUP(SUBSTITUTE(E350,"DS ","")&amp;F350, wilayahfix!$A:$D, 2, 0), ""), user!$B:$D, 2, 0), "TIDAK KETEMU"))</f>
        <v/>
      </c>
      <c r="K350" s="39" t="str">
        <f>IF(E350="", "", IFERROR(VLOOKUP(IFERROR(VLOOKUP(SUBSTITUTE(E350,"DS ","")&amp;F350,#REF!, 2, 0), ""), user!$B:$D, 3, 0), ""))</f>
        <v/>
      </c>
    </row>
    <row r="351" spans="10:11" x14ac:dyDescent="0.25">
      <c r="J351" s="39"/>
      <c r="K351" s="39"/>
    </row>
    <row r="352" spans="10:11" x14ac:dyDescent="0.25">
      <c r="J352" s="39" t="str">
        <f>IF(E352="", "", IFERROR(VLOOKUP(IFERROR(VLOOKUP(SUBSTITUTE(E352,"DS ","")&amp;F352, wilayahfix!$A:$D, 2, 0), ""), user!$B:$D, 2, 0), "TIDAK KETEMU"))</f>
        <v/>
      </c>
      <c r="K352" s="39" t="str">
        <f>IF(E352="", "", IFERROR(VLOOKUP(IFERROR(VLOOKUP(SUBSTITUTE(E352,"DS ","")&amp;F352,#REF!, 2, 0), ""), user!$B:$D, 3, 0), ""))</f>
        <v/>
      </c>
    </row>
    <row r="353" spans="10:11" x14ac:dyDescent="0.25">
      <c r="J353" s="39"/>
      <c r="K353" s="39"/>
    </row>
    <row r="354" spans="10:11" x14ac:dyDescent="0.25">
      <c r="J354" s="39" t="str">
        <f>IF(E354="", "", IFERROR(VLOOKUP(IFERROR(VLOOKUP(SUBSTITUTE(E354,"DS ","")&amp;F354, wilayahfix!$A:$D, 2, 0), ""), user!$B:$D, 2, 0), "TIDAK KETEMU"))</f>
        <v/>
      </c>
      <c r="K354" s="39" t="str">
        <f>IF(E354="", "", IFERROR(VLOOKUP(IFERROR(VLOOKUP(SUBSTITUTE(E354,"DS ","")&amp;F354,#REF!, 2, 0), ""), user!$B:$D, 3, 0), ""))</f>
        <v/>
      </c>
    </row>
    <row r="355" spans="10:11" x14ac:dyDescent="0.25">
      <c r="J355" s="39"/>
      <c r="K355" s="39"/>
    </row>
    <row r="356" spans="10:11" x14ac:dyDescent="0.25">
      <c r="J356" s="39" t="str">
        <f>IF(E356="", "", IFERROR(VLOOKUP(IFERROR(VLOOKUP(SUBSTITUTE(E356,"DS ","")&amp;F356, wilayahfix!$A:$D, 2, 0), ""), user!$B:$D, 2, 0), "TIDAK KETEMU"))</f>
        <v/>
      </c>
      <c r="K356" s="39" t="str">
        <f>IF(E356="", "", IFERROR(VLOOKUP(IFERROR(VLOOKUP(SUBSTITUTE(E356,"DS ","")&amp;F356,#REF!, 2, 0), ""), user!$B:$D, 3, 0), ""))</f>
        <v/>
      </c>
    </row>
    <row r="357" spans="10:11" x14ac:dyDescent="0.25">
      <c r="J357" s="39"/>
      <c r="K357" s="39"/>
    </row>
    <row r="358" spans="10:11" x14ac:dyDescent="0.25">
      <c r="J358" s="39" t="str">
        <f>IF(E358="", "", IFERROR(VLOOKUP(IFERROR(VLOOKUP(SUBSTITUTE(E358,"DS ","")&amp;F358, wilayahfix!$A:$D, 2, 0), ""), user!$B:$D, 2, 0), "TIDAK KETEMU"))</f>
        <v/>
      </c>
      <c r="K358" s="39" t="str">
        <f>IF(E358="", "", IFERROR(VLOOKUP(IFERROR(VLOOKUP(SUBSTITUTE(E358,"DS ","")&amp;F358,#REF!, 2, 0), ""), user!$B:$D, 3, 0), ""))</f>
        <v/>
      </c>
    </row>
    <row r="359" spans="10:11" x14ac:dyDescent="0.25">
      <c r="J359" s="39"/>
      <c r="K359" s="39"/>
    </row>
    <row r="360" spans="10:11" x14ac:dyDescent="0.25">
      <c r="J360" s="39" t="str">
        <f>IF(E360="", "", IFERROR(VLOOKUP(IFERROR(VLOOKUP(SUBSTITUTE(E360,"DS ","")&amp;F360, wilayahfix!$A:$D, 2, 0), ""), user!$B:$D, 2, 0), "TIDAK KETEMU"))</f>
        <v/>
      </c>
      <c r="K360" s="39" t="str">
        <f>IF(E360="", "", IFERROR(VLOOKUP(IFERROR(VLOOKUP(SUBSTITUTE(E360,"DS ","")&amp;F360,#REF!, 2, 0), ""), user!$B:$D, 3, 0), ""))</f>
        <v/>
      </c>
    </row>
    <row r="361" spans="10:11" x14ac:dyDescent="0.25">
      <c r="J361" s="39"/>
      <c r="K361" s="39"/>
    </row>
    <row r="362" spans="10:11" x14ac:dyDescent="0.25">
      <c r="J362" s="39" t="str">
        <f>IF(E362="", "", IFERROR(VLOOKUP(IFERROR(VLOOKUP(SUBSTITUTE(E362,"DS ","")&amp;F362, wilayahfix!$A:$D, 2, 0), ""), user!$B:$D, 2, 0), "TIDAK KETEMU"))</f>
        <v/>
      </c>
      <c r="K362" s="39" t="str">
        <f>IF(E362="", "", IFERROR(VLOOKUP(IFERROR(VLOOKUP(SUBSTITUTE(E362,"DS ","")&amp;F362,#REF!, 2, 0), ""), user!$B:$D, 3, 0), ""))</f>
        <v/>
      </c>
    </row>
    <row r="363" spans="10:11" x14ac:dyDescent="0.25">
      <c r="J363" s="39"/>
      <c r="K363" s="39"/>
    </row>
    <row r="364" spans="10:11" x14ac:dyDescent="0.25">
      <c r="J364" s="39" t="str">
        <f>IF(E364="", "", IFERROR(VLOOKUP(IFERROR(VLOOKUP(SUBSTITUTE(E364,"DS ","")&amp;F364, wilayahfix!$A:$D, 2, 0), ""), user!$B:$D, 2, 0), "TIDAK KETEMU"))</f>
        <v/>
      </c>
      <c r="K364" s="39" t="str">
        <f>IF(E364="", "", IFERROR(VLOOKUP(IFERROR(VLOOKUP(SUBSTITUTE(E364,"DS ","")&amp;F364,#REF!, 2, 0), ""), user!$B:$D, 3, 0), ""))</f>
        <v/>
      </c>
    </row>
    <row r="365" spans="10:11" x14ac:dyDescent="0.25">
      <c r="J365" s="39"/>
      <c r="K365" s="39"/>
    </row>
    <row r="366" spans="10:11" x14ac:dyDescent="0.25">
      <c r="J366" s="39" t="str">
        <f>IF(E366="", "", IFERROR(VLOOKUP(IFERROR(VLOOKUP(SUBSTITUTE(E366,"DS ","")&amp;F366, wilayahfix!$A:$D, 2, 0), ""), user!$B:$D, 2, 0), "TIDAK KETEMU"))</f>
        <v/>
      </c>
      <c r="K366" s="39" t="str">
        <f>IF(E366="", "", IFERROR(VLOOKUP(IFERROR(VLOOKUP(SUBSTITUTE(E366,"DS ","")&amp;F366,#REF!, 2, 0), ""), user!$B:$D, 3, 0), ""))</f>
        <v/>
      </c>
    </row>
    <row r="367" spans="10:11" x14ac:dyDescent="0.25">
      <c r="J367" s="39"/>
      <c r="K367" s="39"/>
    </row>
    <row r="368" spans="10:11" x14ac:dyDescent="0.25">
      <c r="J368" s="39" t="str">
        <f>IF(E368="", "", IFERROR(VLOOKUP(IFERROR(VLOOKUP(SUBSTITUTE(E368,"DS ","")&amp;F368, wilayahfix!$A:$D, 2, 0), ""), user!$B:$D, 2, 0), "TIDAK KETEMU"))</f>
        <v/>
      </c>
      <c r="K368" s="39" t="str">
        <f>IF(E368="", "", IFERROR(VLOOKUP(IFERROR(VLOOKUP(SUBSTITUTE(E368,"DS ","")&amp;F368,#REF!, 2, 0), ""), user!$B:$D, 3, 0), ""))</f>
        <v/>
      </c>
    </row>
    <row r="369" spans="10:11" x14ac:dyDescent="0.25">
      <c r="J369" s="39"/>
      <c r="K369" s="39"/>
    </row>
    <row r="370" spans="10:11" x14ac:dyDescent="0.25">
      <c r="J370" s="39" t="str">
        <f>IF(E370="", "", IFERROR(VLOOKUP(IFERROR(VLOOKUP(SUBSTITUTE(E370,"DS ","")&amp;F370, wilayahfix!$A:$D, 2, 0), ""), user!$B:$D, 2, 0), "TIDAK KETEMU"))</f>
        <v/>
      </c>
      <c r="K370" s="39" t="str">
        <f>IF(E370="", "", IFERROR(VLOOKUP(IFERROR(VLOOKUP(SUBSTITUTE(E370,"DS ","")&amp;F370,#REF!, 2, 0), ""), user!$B:$D, 3, 0), ""))</f>
        <v/>
      </c>
    </row>
    <row r="371" spans="10:11" x14ac:dyDescent="0.25">
      <c r="J371" s="39"/>
      <c r="K371" s="39"/>
    </row>
    <row r="372" spans="10:11" x14ac:dyDescent="0.25">
      <c r="J372" s="39" t="str">
        <f>IF(E372="", "", IFERROR(VLOOKUP(IFERROR(VLOOKUP(SUBSTITUTE(E372,"DS ","")&amp;F372, wilayahfix!$A:$D, 2, 0), ""), user!$B:$D, 2, 0), "TIDAK KETEMU"))</f>
        <v/>
      </c>
      <c r="K372" s="39" t="str">
        <f>IF(E372="", "", IFERROR(VLOOKUP(IFERROR(VLOOKUP(SUBSTITUTE(E372,"DS ","")&amp;F372,#REF!, 2, 0), ""), user!$B:$D, 3, 0), ""))</f>
        <v/>
      </c>
    </row>
    <row r="373" spans="10:11" x14ac:dyDescent="0.25">
      <c r="J373" s="39"/>
      <c r="K373" s="39"/>
    </row>
    <row r="374" spans="10:11" x14ac:dyDescent="0.25">
      <c r="J374" s="39" t="str">
        <f>IF(E374="", "", IFERROR(VLOOKUP(IFERROR(VLOOKUP(SUBSTITUTE(E374,"DS ","")&amp;F374, wilayahfix!$A:$D, 2, 0), ""), user!$B:$D, 2, 0), "TIDAK KETEMU"))</f>
        <v/>
      </c>
      <c r="K374" s="39" t="str">
        <f>IF(E374="", "", IFERROR(VLOOKUP(IFERROR(VLOOKUP(SUBSTITUTE(E374,"DS ","")&amp;F374,#REF!, 2, 0), ""), user!$B:$D, 3, 0), ""))</f>
        <v/>
      </c>
    </row>
    <row r="375" spans="10:11" x14ac:dyDescent="0.25">
      <c r="J375" s="39"/>
      <c r="K375" s="39"/>
    </row>
    <row r="376" spans="10:11" x14ac:dyDescent="0.25">
      <c r="J376" s="39" t="str">
        <f>IF(E376="", "", IFERROR(VLOOKUP(IFERROR(VLOOKUP(SUBSTITUTE(E376,"DS ","")&amp;F376, wilayahfix!$A:$D, 2, 0), ""), user!$B:$D, 2, 0), "TIDAK KETEMU"))</f>
        <v/>
      </c>
      <c r="K376" s="39" t="str">
        <f>IF(E376="", "", IFERROR(VLOOKUP(IFERROR(VLOOKUP(SUBSTITUTE(E376,"DS ","")&amp;F376,#REF!, 2, 0), ""), user!$B:$D, 3, 0), ""))</f>
        <v/>
      </c>
    </row>
    <row r="377" spans="10:11" x14ac:dyDescent="0.25">
      <c r="J377" s="39"/>
      <c r="K377" s="39"/>
    </row>
    <row r="378" spans="10:11" x14ac:dyDescent="0.25">
      <c r="J378" s="39" t="str">
        <f>IF(E378="", "", IFERROR(VLOOKUP(IFERROR(VLOOKUP(SUBSTITUTE(E378,"DS ","")&amp;F378, wilayahfix!$A:$D, 2, 0), ""), user!$B:$D, 2, 0), "TIDAK KETEMU"))</f>
        <v/>
      </c>
      <c r="K378" s="39" t="str">
        <f>IF(E378="", "", IFERROR(VLOOKUP(IFERROR(VLOOKUP(SUBSTITUTE(E378,"DS ","")&amp;F378,#REF!, 2, 0), ""), user!$B:$D, 3, 0), ""))</f>
        <v/>
      </c>
    </row>
    <row r="379" spans="10:11" x14ac:dyDescent="0.25">
      <c r="J379" s="39"/>
      <c r="K379" s="39"/>
    </row>
    <row r="380" spans="10:11" x14ac:dyDescent="0.25">
      <c r="J380" s="39" t="str">
        <f>IF(E380="", "", IFERROR(VLOOKUP(IFERROR(VLOOKUP(SUBSTITUTE(E380,"DS ","")&amp;F380, wilayahfix!$A:$D, 2, 0), ""), user!$B:$D, 2, 0), "TIDAK KETEMU"))</f>
        <v/>
      </c>
      <c r="K380" s="39" t="str">
        <f>IF(E380="", "", IFERROR(VLOOKUP(IFERROR(VLOOKUP(SUBSTITUTE(E380,"DS ","")&amp;F380,#REF!, 2, 0), ""), user!$B:$D, 3, 0), ""))</f>
        <v/>
      </c>
    </row>
    <row r="381" spans="10:11" x14ac:dyDescent="0.25">
      <c r="J381" s="39"/>
      <c r="K381" s="39"/>
    </row>
    <row r="382" spans="10:11" x14ac:dyDescent="0.25">
      <c r="J382" s="39" t="str">
        <f>IF(E382="", "", IFERROR(VLOOKUP(IFERROR(VLOOKUP(SUBSTITUTE(E382,"DS ","")&amp;F382, wilayahfix!$A:$D, 2, 0), ""), user!$B:$D, 2, 0), "TIDAK KETEMU"))</f>
        <v/>
      </c>
      <c r="K382" s="39" t="str">
        <f>IF(E382="", "", IFERROR(VLOOKUP(IFERROR(VLOOKUP(SUBSTITUTE(E382,"DS ","")&amp;F382,#REF!, 2, 0), ""), user!$B:$D, 3, 0), ""))</f>
        <v/>
      </c>
    </row>
    <row r="383" spans="10:11" x14ac:dyDescent="0.25">
      <c r="J383" s="39"/>
      <c r="K383" s="39"/>
    </row>
    <row r="384" spans="10:11" x14ac:dyDescent="0.25">
      <c r="J384" s="39" t="str">
        <f>IF(E384="", "", IFERROR(VLOOKUP(IFERROR(VLOOKUP(SUBSTITUTE(E384,"DS ","")&amp;F384, wilayahfix!$A:$D, 2, 0), ""), user!$B:$D, 2, 0), "TIDAK KETEMU"))</f>
        <v/>
      </c>
      <c r="K384" s="39" t="str">
        <f>IF(E384="", "", IFERROR(VLOOKUP(IFERROR(VLOOKUP(SUBSTITUTE(E384,"DS ","")&amp;F384,#REF!, 2, 0), ""), user!$B:$D, 3, 0), ""))</f>
        <v/>
      </c>
    </row>
    <row r="385" spans="10:11" x14ac:dyDescent="0.25">
      <c r="J385" s="39"/>
      <c r="K385" s="39"/>
    </row>
    <row r="386" spans="10:11" x14ac:dyDescent="0.25">
      <c r="J386" s="39" t="str">
        <f>IF(E386="", "", IFERROR(VLOOKUP(IFERROR(VLOOKUP(SUBSTITUTE(E386,"DS ","")&amp;F386, wilayahfix!$A:$D, 2, 0), ""), user!$B:$D, 2, 0), "TIDAK KETEMU"))</f>
        <v/>
      </c>
      <c r="K386" s="39" t="str">
        <f>IF(E386="", "", IFERROR(VLOOKUP(IFERROR(VLOOKUP(SUBSTITUTE(E386,"DS ","")&amp;F386,#REF!, 2, 0), ""), user!$B:$D, 3, 0), ""))</f>
        <v/>
      </c>
    </row>
    <row r="387" spans="10:11" x14ac:dyDescent="0.25">
      <c r="J387" s="39"/>
      <c r="K387" s="39"/>
    </row>
    <row r="388" spans="10:11" x14ac:dyDescent="0.25">
      <c r="J388" s="39" t="str">
        <f>IF(E388="", "", IFERROR(VLOOKUP(IFERROR(VLOOKUP(SUBSTITUTE(E388,"DS ","")&amp;F388, wilayahfix!$A:$D, 2, 0), ""), user!$B:$D, 2, 0), "TIDAK KETEMU"))</f>
        <v/>
      </c>
      <c r="K388" s="39" t="str">
        <f>IF(E388="", "", IFERROR(VLOOKUP(IFERROR(VLOOKUP(SUBSTITUTE(E388,"DS ","")&amp;F388,#REF!, 2, 0), ""), user!$B:$D, 3, 0), ""))</f>
        <v/>
      </c>
    </row>
    <row r="389" spans="10:11" x14ac:dyDescent="0.25">
      <c r="J389" s="39"/>
      <c r="K389" s="39"/>
    </row>
    <row r="390" spans="10:11" x14ac:dyDescent="0.25">
      <c r="J390" s="39" t="str">
        <f>IF(E390="", "", IFERROR(VLOOKUP(IFERROR(VLOOKUP(SUBSTITUTE(E390,"DS ","")&amp;F390, wilayahfix!$A:$D, 2, 0), ""), user!$B:$D, 2, 0), "TIDAK KETEMU"))</f>
        <v/>
      </c>
      <c r="K390" s="39" t="str">
        <f>IF(E390="", "", IFERROR(VLOOKUP(IFERROR(VLOOKUP(SUBSTITUTE(E390,"DS ","")&amp;F390,#REF!, 2, 0), ""), user!$B:$D, 3, 0), ""))</f>
        <v/>
      </c>
    </row>
    <row r="391" spans="10:11" x14ac:dyDescent="0.25">
      <c r="J391" s="39"/>
      <c r="K391" s="39"/>
    </row>
    <row r="392" spans="10:11" x14ac:dyDescent="0.25">
      <c r="J392" s="39" t="str">
        <f>IF(E392="", "", IFERROR(VLOOKUP(IFERROR(VLOOKUP(SUBSTITUTE(E392,"DS ","")&amp;F392, wilayahfix!$A:$D, 2, 0), ""), user!$B:$D, 2, 0), "TIDAK KETEMU"))</f>
        <v/>
      </c>
      <c r="K392" s="39" t="str">
        <f>IF(E392="", "", IFERROR(VLOOKUP(IFERROR(VLOOKUP(SUBSTITUTE(E392,"DS ","")&amp;F392,#REF!, 2, 0), ""), user!$B:$D, 3, 0), ""))</f>
        <v/>
      </c>
    </row>
    <row r="393" spans="10:11" x14ac:dyDescent="0.25">
      <c r="J393" s="39"/>
      <c r="K393" s="39"/>
    </row>
    <row r="394" spans="10:11" x14ac:dyDescent="0.25">
      <c r="J394" s="39" t="str">
        <f>IF(E394="", "", IFERROR(VLOOKUP(IFERROR(VLOOKUP(SUBSTITUTE(E394,"DS ","")&amp;F394, wilayahfix!$A:$D, 2, 0), ""), user!$B:$D, 2, 0), "TIDAK KETEMU"))</f>
        <v/>
      </c>
      <c r="K394" s="39" t="str">
        <f>IF(E394="", "", IFERROR(VLOOKUP(IFERROR(VLOOKUP(SUBSTITUTE(E394,"DS ","")&amp;F394,#REF!, 2, 0), ""), user!$B:$D, 3, 0), ""))</f>
        <v/>
      </c>
    </row>
    <row r="395" spans="10:11" x14ac:dyDescent="0.25">
      <c r="J395" s="39"/>
      <c r="K395" s="39"/>
    </row>
    <row r="396" spans="10:11" x14ac:dyDescent="0.25">
      <c r="J396" s="39" t="str">
        <f>IF(E396="", "", IFERROR(VLOOKUP(IFERROR(VLOOKUP(SUBSTITUTE(E396,"DS ","")&amp;F396, wilayahfix!$A:$D, 2, 0), ""), user!$B:$D, 2, 0), "TIDAK KETEMU"))</f>
        <v/>
      </c>
      <c r="K396" s="39" t="str">
        <f>IF(E396="", "", IFERROR(VLOOKUP(IFERROR(VLOOKUP(SUBSTITUTE(E396,"DS ","")&amp;F396,#REF!, 2, 0), ""), user!$B:$D, 3, 0), ""))</f>
        <v/>
      </c>
    </row>
    <row r="397" spans="10:11" x14ac:dyDescent="0.25">
      <c r="J397" s="39"/>
      <c r="K397" s="39"/>
    </row>
    <row r="398" spans="10:11" x14ac:dyDescent="0.25">
      <c r="J398" s="39" t="str">
        <f>IF(E398="", "", IFERROR(VLOOKUP(IFERROR(VLOOKUP(SUBSTITUTE(E398,"DS ","")&amp;F398, wilayahfix!$A:$D, 2, 0), ""), user!$B:$D, 2, 0), "TIDAK KETEMU"))</f>
        <v/>
      </c>
      <c r="K398" s="39" t="str">
        <f>IF(E398="", "", IFERROR(VLOOKUP(IFERROR(VLOOKUP(SUBSTITUTE(E398,"DS ","")&amp;F398,#REF!, 2, 0), ""), user!$B:$D, 3, 0), ""))</f>
        <v/>
      </c>
    </row>
    <row r="399" spans="10:11" x14ac:dyDescent="0.25">
      <c r="J399" s="39"/>
      <c r="K399" s="39"/>
    </row>
    <row r="400" spans="10:11" x14ac:dyDescent="0.25">
      <c r="J400" s="39" t="str">
        <f>IF(E400="", "", IFERROR(VLOOKUP(IFERROR(VLOOKUP(SUBSTITUTE(E400,"DS ","")&amp;F400, wilayahfix!$A:$D, 2, 0), ""), user!$B:$D, 2, 0), "TIDAK KETEMU"))</f>
        <v/>
      </c>
      <c r="K400" s="39" t="str">
        <f>IF(E400="", "", IFERROR(VLOOKUP(IFERROR(VLOOKUP(SUBSTITUTE(E400,"DS ","")&amp;F400,#REF!, 2, 0), ""), user!$B:$D, 3, 0), ""))</f>
        <v/>
      </c>
    </row>
    <row r="401" spans="10:11" x14ac:dyDescent="0.25">
      <c r="J401" s="39"/>
      <c r="K401" s="39"/>
    </row>
    <row r="402" spans="10:11" x14ac:dyDescent="0.25">
      <c r="J402" s="39" t="str">
        <f>IF(E402="", "", IFERROR(VLOOKUP(IFERROR(VLOOKUP(SUBSTITUTE(E402,"DS ","")&amp;F402, wilayahfix!$A:$D, 2, 0), ""), user!$B:$D, 2, 0), "TIDAK KETEMU"))</f>
        <v/>
      </c>
      <c r="K402" s="39" t="str">
        <f>IF(E402="", "", IFERROR(VLOOKUP(IFERROR(VLOOKUP(SUBSTITUTE(E402,"DS ","")&amp;F402,#REF!, 2, 0), ""), user!$B:$D, 3, 0), ""))</f>
        <v/>
      </c>
    </row>
    <row r="403" spans="10:11" x14ac:dyDescent="0.25">
      <c r="J403" s="39"/>
      <c r="K403" s="39"/>
    </row>
    <row r="404" spans="10:11" x14ac:dyDescent="0.25">
      <c r="J404" s="39" t="str">
        <f>IF(E404="", "", IFERROR(VLOOKUP(IFERROR(VLOOKUP(SUBSTITUTE(E404,"DS ","")&amp;F404, wilayahfix!$A:$D, 2, 0), ""), user!$B:$D, 2, 0), "TIDAK KETEMU"))</f>
        <v/>
      </c>
      <c r="K404" s="39" t="str">
        <f>IF(E404="", "", IFERROR(VLOOKUP(IFERROR(VLOOKUP(SUBSTITUTE(E404,"DS ","")&amp;F404,#REF!, 2, 0), ""), user!$B:$D, 3, 0), ""))</f>
        <v/>
      </c>
    </row>
    <row r="405" spans="10:11" x14ac:dyDescent="0.25">
      <c r="J405" s="39"/>
      <c r="K405" s="39"/>
    </row>
    <row r="406" spans="10:11" x14ac:dyDescent="0.25">
      <c r="J406" s="39" t="str">
        <f>IF(E406="", "", IFERROR(VLOOKUP(IFERROR(VLOOKUP(SUBSTITUTE(E406,"DS ","")&amp;F406, wilayahfix!$A:$D, 2, 0), ""), user!$B:$D, 2, 0), "TIDAK KETEMU"))</f>
        <v/>
      </c>
      <c r="K406" s="39" t="str">
        <f>IF(E406="", "", IFERROR(VLOOKUP(IFERROR(VLOOKUP(SUBSTITUTE(E406,"DS ","")&amp;F406,#REF!, 2, 0), ""), user!$B:$D, 3, 0), ""))</f>
        <v/>
      </c>
    </row>
    <row r="407" spans="10:11" x14ac:dyDescent="0.25">
      <c r="J407" s="39"/>
      <c r="K407" s="39"/>
    </row>
    <row r="408" spans="10:11" x14ac:dyDescent="0.25">
      <c r="J408" s="39" t="str">
        <f>IF(E408="", "", IFERROR(VLOOKUP(IFERROR(VLOOKUP(SUBSTITUTE(E408,"DS ","")&amp;F408, wilayahfix!$A:$D, 2, 0), ""), user!$B:$D, 2, 0), "TIDAK KETEMU"))</f>
        <v/>
      </c>
      <c r="K408" s="39" t="str">
        <f>IF(E408="", "", IFERROR(VLOOKUP(IFERROR(VLOOKUP(SUBSTITUTE(E408,"DS ","")&amp;F408,#REF!, 2, 0), ""), user!$B:$D, 3, 0), ""))</f>
        <v/>
      </c>
    </row>
    <row r="409" spans="10:11" x14ac:dyDescent="0.25">
      <c r="J409" s="39"/>
      <c r="K409" s="39"/>
    </row>
    <row r="410" spans="10:11" x14ac:dyDescent="0.25">
      <c r="J410" s="39" t="str">
        <f>IF(E410="", "", IFERROR(VLOOKUP(IFERROR(VLOOKUP(SUBSTITUTE(E410,"DS ","")&amp;F410, wilayahfix!$A:$D, 2, 0), ""), user!$B:$D, 2, 0), "TIDAK KETEMU"))</f>
        <v/>
      </c>
      <c r="K410" s="39" t="str">
        <f>IF(E410="", "", IFERROR(VLOOKUP(IFERROR(VLOOKUP(SUBSTITUTE(E410,"DS ","")&amp;F410,#REF!, 2, 0), ""), user!$B:$D, 3, 0), ""))</f>
        <v/>
      </c>
    </row>
    <row r="411" spans="10:11" x14ac:dyDescent="0.25">
      <c r="J411" s="39"/>
      <c r="K411" s="39"/>
    </row>
    <row r="412" spans="10:11" x14ac:dyDescent="0.25">
      <c r="J412" s="39" t="str">
        <f>IF(E412="", "", IFERROR(VLOOKUP(IFERROR(VLOOKUP(SUBSTITUTE(E412,"DS ","")&amp;F412, wilayahfix!$A:$D, 2, 0), ""), user!$B:$D, 2, 0), "TIDAK KETEMU"))</f>
        <v/>
      </c>
      <c r="K412" s="39" t="str">
        <f>IF(E412="", "", IFERROR(VLOOKUP(IFERROR(VLOOKUP(SUBSTITUTE(E412,"DS ","")&amp;F412,#REF!, 2, 0), ""), user!$B:$D, 3, 0), ""))</f>
        <v/>
      </c>
    </row>
    <row r="413" spans="10:11" x14ac:dyDescent="0.25">
      <c r="J413" s="39"/>
      <c r="K413" s="39"/>
    </row>
    <row r="414" spans="10:11" x14ac:dyDescent="0.25">
      <c r="J414" s="39" t="str">
        <f>IF(E414="", "", IFERROR(VLOOKUP(IFERROR(VLOOKUP(SUBSTITUTE(E414,"DS ","")&amp;F414, wilayahfix!$A:$D, 2, 0), ""), user!$B:$D, 2, 0), "TIDAK KETEMU"))</f>
        <v/>
      </c>
      <c r="K414" s="39" t="str">
        <f>IF(E414="", "", IFERROR(VLOOKUP(IFERROR(VLOOKUP(SUBSTITUTE(E414,"DS ","")&amp;F414,#REF!, 2, 0), ""), user!$B:$D, 3, 0), ""))</f>
        <v/>
      </c>
    </row>
    <row r="415" spans="10:11" x14ac:dyDescent="0.25">
      <c r="J415" s="39"/>
      <c r="K415" s="39"/>
    </row>
    <row r="416" spans="10:11" x14ac:dyDescent="0.25">
      <c r="J416" s="39" t="str">
        <f>IF(E416="", "", IFERROR(VLOOKUP(IFERROR(VLOOKUP(SUBSTITUTE(E416,"DS ","")&amp;F416, wilayahfix!$A:$D, 2, 0), ""), user!$B:$D, 2, 0), "TIDAK KETEMU"))</f>
        <v/>
      </c>
      <c r="K416" s="39" t="str">
        <f>IF(E416="", "", IFERROR(VLOOKUP(IFERROR(VLOOKUP(SUBSTITUTE(E416,"DS ","")&amp;F416,#REF!, 2, 0), ""), user!$B:$D, 3, 0), ""))</f>
        <v/>
      </c>
    </row>
    <row r="417" spans="10:11" x14ac:dyDescent="0.25">
      <c r="J417" s="39"/>
      <c r="K417" s="39"/>
    </row>
    <row r="418" spans="10:11" x14ac:dyDescent="0.25">
      <c r="J418" s="39" t="str">
        <f>IF(E418="", "", IFERROR(VLOOKUP(IFERROR(VLOOKUP(SUBSTITUTE(E418,"DS ","")&amp;F418, wilayahfix!$A:$D, 2, 0), ""), user!$B:$D, 2, 0), "TIDAK KETEMU"))</f>
        <v/>
      </c>
      <c r="K418" s="39" t="str">
        <f>IF(E418="", "", IFERROR(VLOOKUP(IFERROR(VLOOKUP(SUBSTITUTE(E418,"DS ","")&amp;F418,#REF!, 2, 0), ""), user!$B:$D, 3, 0), ""))</f>
        <v/>
      </c>
    </row>
    <row r="419" spans="10:11" x14ac:dyDescent="0.25">
      <c r="J419" s="39"/>
      <c r="K419" s="39"/>
    </row>
    <row r="420" spans="10:11" x14ac:dyDescent="0.25">
      <c r="J420" s="39" t="str">
        <f>IF(E420="", "", IFERROR(VLOOKUP(IFERROR(VLOOKUP(SUBSTITUTE(E420,"DS ","")&amp;F420, wilayahfix!$A:$D, 2, 0), ""), user!$B:$D, 2, 0), "TIDAK KETEMU"))</f>
        <v/>
      </c>
      <c r="K420" s="39" t="str">
        <f>IF(E420="", "", IFERROR(VLOOKUP(IFERROR(VLOOKUP(SUBSTITUTE(E420,"DS ","")&amp;F420,#REF!, 2, 0), ""), user!$B:$D, 3, 0), ""))</f>
        <v/>
      </c>
    </row>
    <row r="421" spans="10:11" x14ac:dyDescent="0.25">
      <c r="J421" s="39"/>
      <c r="K421" s="39"/>
    </row>
    <row r="422" spans="10:11" x14ac:dyDescent="0.25">
      <c r="J422" s="39" t="str">
        <f>IF(E422="", "", IFERROR(VLOOKUP(IFERROR(VLOOKUP(SUBSTITUTE(E422,"DS ","")&amp;F422, wilayahfix!$A:$D, 2, 0), ""), user!$B:$D, 2, 0), "TIDAK KETEMU"))</f>
        <v/>
      </c>
      <c r="K422" s="39" t="str">
        <f>IF(E422="", "", IFERROR(VLOOKUP(IFERROR(VLOOKUP(SUBSTITUTE(E422,"DS ","")&amp;F422,#REF!, 2, 0), ""), user!$B:$D, 3, 0), ""))</f>
        <v/>
      </c>
    </row>
    <row r="423" spans="10:11" x14ac:dyDescent="0.25">
      <c r="J423" s="39"/>
      <c r="K423" s="39"/>
    </row>
    <row r="424" spans="10:11" x14ac:dyDescent="0.25">
      <c r="J424" s="39" t="str">
        <f>IF(E424="", "", IFERROR(VLOOKUP(IFERROR(VLOOKUP(SUBSTITUTE(E424,"DS ","")&amp;F424, wilayahfix!$A:$D, 2, 0), ""), user!$B:$D, 2, 0), "TIDAK KETEMU"))</f>
        <v/>
      </c>
      <c r="K424" s="39" t="str">
        <f>IF(E424="", "", IFERROR(VLOOKUP(IFERROR(VLOOKUP(SUBSTITUTE(E424,"DS ","")&amp;F424,#REF!, 2, 0), ""), user!$B:$D, 3, 0), ""))</f>
        <v/>
      </c>
    </row>
    <row r="425" spans="10:11" x14ac:dyDescent="0.25">
      <c r="J425" s="39"/>
      <c r="K425" s="39"/>
    </row>
    <row r="426" spans="10:11" x14ac:dyDescent="0.25">
      <c r="J426" s="39" t="str">
        <f>IF(E426="", "", IFERROR(VLOOKUP(IFERROR(VLOOKUP(SUBSTITUTE(E426,"DS ","")&amp;F426, wilayahfix!$A:$D, 2, 0), ""), user!$B:$D, 2, 0), "TIDAK KETEMU"))</f>
        <v/>
      </c>
      <c r="K426" s="39" t="str">
        <f>IF(E426="", "", IFERROR(VLOOKUP(IFERROR(VLOOKUP(SUBSTITUTE(E426,"DS ","")&amp;F426,#REF!, 2, 0), ""), user!$B:$D, 3, 0), ""))</f>
        <v/>
      </c>
    </row>
    <row r="427" spans="10:11" x14ac:dyDescent="0.25">
      <c r="J427" s="39"/>
      <c r="K427" s="39"/>
    </row>
    <row r="428" spans="10:11" x14ac:dyDescent="0.25">
      <c r="J428" s="39" t="str">
        <f>IF(E428="", "", IFERROR(VLOOKUP(IFERROR(VLOOKUP(SUBSTITUTE(E428,"DS ","")&amp;F428, wilayahfix!$A:$D, 2, 0), ""), user!$B:$D, 2, 0), "TIDAK KETEMU"))</f>
        <v/>
      </c>
      <c r="K428" s="39" t="str">
        <f>IF(E428="", "", IFERROR(VLOOKUP(IFERROR(VLOOKUP(SUBSTITUTE(E428,"DS ","")&amp;F428,#REF!, 2, 0), ""), user!$B:$D, 3, 0), ""))</f>
        <v/>
      </c>
    </row>
    <row r="429" spans="10:11" x14ac:dyDescent="0.25">
      <c r="J429" s="39"/>
      <c r="K429" s="39"/>
    </row>
    <row r="430" spans="10:11" x14ac:dyDescent="0.25">
      <c r="J430" s="39" t="str">
        <f>IF(E430="", "", IFERROR(VLOOKUP(IFERROR(VLOOKUP(SUBSTITUTE(E430,"DS ","")&amp;F430, wilayahfix!$A:$D, 2, 0), ""), user!$B:$D, 2, 0), "TIDAK KETEMU"))</f>
        <v/>
      </c>
      <c r="K430" s="39" t="str">
        <f>IF(E430="", "", IFERROR(VLOOKUP(IFERROR(VLOOKUP(SUBSTITUTE(E430,"DS ","")&amp;F430,#REF!, 2, 0), ""), user!$B:$D, 3, 0), ""))</f>
        <v/>
      </c>
    </row>
    <row r="431" spans="10:11" x14ac:dyDescent="0.25">
      <c r="J431" s="39"/>
      <c r="K431" s="39"/>
    </row>
    <row r="432" spans="10:11" x14ac:dyDescent="0.25">
      <c r="J432" s="39" t="str">
        <f>IF(E432="", "", IFERROR(VLOOKUP(IFERROR(VLOOKUP(SUBSTITUTE(E432,"DS ","")&amp;F432, wilayahfix!$A:$D, 2, 0), ""), user!$B:$D, 2, 0), "TIDAK KETEMU"))</f>
        <v/>
      </c>
      <c r="K432" s="39" t="str">
        <f>IF(E432="", "", IFERROR(VLOOKUP(IFERROR(VLOOKUP(SUBSTITUTE(E432,"DS ","")&amp;F432,#REF!, 2, 0), ""), user!$B:$D, 3, 0), ""))</f>
        <v/>
      </c>
    </row>
    <row r="433" spans="10:11" x14ac:dyDescent="0.25">
      <c r="J433" s="39"/>
      <c r="K433" s="39"/>
    </row>
    <row r="434" spans="10:11" x14ac:dyDescent="0.25">
      <c r="J434" s="39" t="str">
        <f>IF(E434="", "", IFERROR(VLOOKUP(IFERROR(VLOOKUP(SUBSTITUTE(E434,"DS ","")&amp;F434, wilayahfix!$A:$D, 2, 0), ""), user!$B:$D, 2, 0), "TIDAK KETEMU"))</f>
        <v/>
      </c>
      <c r="K434" s="39" t="str">
        <f>IF(E434="", "", IFERROR(VLOOKUP(IFERROR(VLOOKUP(SUBSTITUTE(E434,"DS ","")&amp;F434,#REF!, 2, 0), ""), user!$B:$D, 3, 0), ""))</f>
        <v/>
      </c>
    </row>
    <row r="435" spans="10:11" x14ac:dyDescent="0.25">
      <c r="J435" s="39"/>
      <c r="K435" s="39"/>
    </row>
    <row r="436" spans="10:11" x14ac:dyDescent="0.25">
      <c r="J436" s="39" t="str">
        <f>IF(E436="", "", IFERROR(VLOOKUP(IFERROR(VLOOKUP(SUBSTITUTE(E436,"DS ","")&amp;F436, wilayahfix!$A:$D, 2, 0), ""), user!$B:$D, 2, 0), "TIDAK KETEMU"))</f>
        <v/>
      </c>
      <c r="K436" s="39" t="str">
        <f>IF(E436="", "", IFERROR(VLOOKUP(IFERROR(VLOOKUP(SUBSTITUTE(E436,"DS ","")&amp;F436,#REF!, 2, 0), ""), user!$B:$D, 3, 0), ""))</f>
        <v/>
      </c>
    </row>
    <row r="437" spans="10:11" x14ac:dyDescent="0.25">
      <c r="J437" s="39"/>
      <c r="K437" s="39"/>
    </row>
    <row r="438" spans="10:11" x14ac:dyDescent="0.25">
      <c r="J438" s="39" t="str">
        <f>IF(E438="", "", IFERROR(VLOOKUP(IFERROR(VLOOKUP(SUBSTITUTE(E438,"DS ","")&amp;F438, wilayahfix!$A:$D, 2, 0), ""), user!$B:$D, 2, 0), "TIDAK KETEMU"))</f>
        <v/>
      </c>
      <c r="K438" s="39" t="str">
        <f>IF(E438="", "", IFERROR(VLOOKUP(IFERROR(VLOOKUP(SUBSTITUTE(E438,"DS ","")&amp;F438,#REF!, 2, 0), ""), user!$B:$D, 3, 0), ""))</f>
        <v/>
      </c>
    </row>
    <row r="439" spans="10:11" x14ac:dyDescent="0.25">
      <c r="J439" s="39"/>
      <c r="K439" s="39"/>
    </row>
    <row r="440" spans="10:11" x14ac:dyDescent="0.25">
      <c r="J440" s="39" t="str">
        <f>IF(E440="", "", IFERROR(VLOOKUP(IFERROR(VLOOKUP(SUBSTITUTE(E440,"DS ","")&amp;F440, wilayahfix!$A:$D, 2, 0), ""), user!$B:$D, 2, 0), "TIDAK KETEMU"))</f>
        <v/>
      </c>
      <c r="K440" s="39" t="str">
        <f>IF(E440="", "", IFERROR(VLOOKUP(IFERROR(VLOOKUP(SUBSTITUTE(E440,"DS ","")&amp;F440,#REF!, 2, 0), ""), user!$B:$D, 3, 0), ""))</f>
        <v/>
      </c>
    </row>
    <row r="441" spans="10:11" x14ac:dyDescent="0.25">
      <c r="J441" s="39"/>
      <c r="K441" s="39"/>
    </row>
    <row r="442" spans="10:11" x14ac:dyDescent="0.25">
      <c r="J442" s="39" t="str">
        <f>IF(E442="", "", IFERROR(VLOOKUP(IFERROR(VLOOKUP(SUBSTITUTE(E442,"DS ","")&amp;F442, wilayahfix!$A:$D, 2, 0), ""), user!$B:$D, 2, 0), "TIDAK KETEMU"))</f>
        <v/>
      </c>
      <c r="K442" s="39" t="str">
        <f>IF(E442="", "", IFERROR(VLOOKUP(IFERROR(VLOOKUP(SUBSTITUTE(E442,"DS ","")&amp;F442,#REF!, 2, 0), ""), user!$B:$D, 3, 0), ""))</f>
        <v/>
      </c>
    </row>
    <row r="443" spans="10:11" x14ac:dyDescent="0.25">
      <c r="J443" s="39"/>
      <c r="K443" s="39"/>
    </row>
    <row r="444" spans="10:11" x14ac:dyDescent="0.25">
      <c r="J444" s="39" t="str">
        <f>IF(E444="", "", IFERROR(VLOOKUP(IFERROR(VLOOKUP(SUBSTITUTE(E444,"DS ","")&amp;F444, wilayahfix!$A:$D, 2, 0), ""), user!$B:$D, 2, 0), "TIDAK KETEMU"))</f>
        <v/>
      </c>
      <c r="K444" s="39" t="str">
        <f>IF(E444="", "", IFERROR(VLOOKUP(IFERROR(VLOOKUP(SUBSTITUTE(E444,"DS ","")&amp;F444,#REF!, 2, 0), ""), user!$B:$D, 3, 0), ""))</f>
        <v/>
      </c>
    </row>
    <row r="445" spans="10:11" x14ac:dyDescent="0.25">
      <c r="J445" s="39"/>
      <c r="K445" s="39"/>
    </row>
    <row r="446" spans="10:11" x14ac:dyDescent="0.25">
      <c r="J446" s="39" t="str">
        <f>IF(E446="", "", IFERROR(VLOOKUP(IFERROR(VLOOKUP(SUBSTITUTE(E446,"DS ","")&amp;F446, wilayahfix!$A:$D, 2, 0), ""), user!$B:$D, 2, 0), "TIDAK KETEMU"))</f>
        <v/>
      </c>
      <c r="K446" s="39" t="str">
        <f>IF(E446="", "", IFERROR(VLOOKUP(IFERROR(VLOOKUP(SUBSTITUTE(E446,"DS ","")&amp;F446,#REF!, 2, 0), ""), user!$B:$D, 3, 0), ""))</f>
        <v/>
      </c>
    </row>
    <row r="447" spans="10:11" x14ac:dyDescent="0.25">
      <c r="J447" s="39"/>
      <c r="K447" s="39"/>
    </row>
    <row r="448" spans="10:11" x14ac:dyDescent="0.25">
      <c r="J448" s="39" t="str">
        <f>IF(E448="", "", IFERROR(VLOOKUP(IFERROR(VLOOKUP(SUBSTITUTE(E448,"DS ","")&amp;F448, wilayahfix!$A:$D, 2, 0), ""), user!$B:$D, 2, 0), "TIDAK KETEMU"))</f>
        <v/>
      </c>
      <c r="K448" s="39" t="str">
        <f>IF(E448="", "", IFERROR(VLOOKUP(IFERROR(VLOOKUP(SUBSTITUTE(E448,"DS ","")&amp;F448,#REF!, 2, 0), ""), user!$B:$D, 3, 0), ""))</f>
        <v/>
      </c>
    </row>
    <row r="449" spans="10:11" x14ac:dyDescent="0.25">
      <c r="J449" s="39"/>
      <c r="K449" s="39"/>
    </row>
    <row r="450" spans="10:11" x14ac:dyDescent="0.25">
      <c r="J450" s="39" t="str">
        <f>IF(E450="", "", IFERROR(VLOOKUP(IFERROR(VLOOKUP(SUBSTITUTE(E450,"DS ","")&amp;F450, wilayahfix!$A:$D, 2, 0), ""), user!$B:$D, 2, 0), "TIDAK KETEMU"))</f>
        <v/>
      </c>
      <c r="K450" s="39" t="str">
        <f>IF(E450="", "", IFERROR(VLOOKUP(IFERROR(VLOOKUP(SUBSTITUTE(E450,"DS ","")&amp;F450,#REF!, 2, 0), ""), user!$B:$D, 3, 0), ""))</f>
        <v/>
      </c>
    </row>
    <row r="451" spans="10:11" x14ac:dyDescent="0.25">
      <c r="J451" s="39"/>
      <c r="K451" s="39"/>
    </row>
    <row r="452" spans="10:11" x14ac:dyDescent="0.25">
      <c r="J452" s="39" t="str">
        <f>IF(E452="", "", IFERROR(VLOOKUP(IFERROR(VLOOKUP(SUBSTITUTE(E452,"DS ","")&amp;F452, wilayahfix!$A:$D, 2, 0), ""), user!$B:$D, 2, 0), "TIDAK KETEMU"))</f>
        <v/>
      </c>
      <c r="K452" s="39" t="str">
        <f>IF(E452="", "", IFERROR(VLOOKUP(IFERROR(VLOOKUP(SUBSTITUTE(E452,"DS ","")&amp;F452,#REF!, 2, 0), ""), user!$B:$D, 3, 0), ""))</f>
        <v/>
      </c>
    </row>
    <row r="453" spans="10:11" x14ac:dyDescent="0.25">
      <c r="J453" s="39"/>
      <c r="K453" s="39"/>
    </row>
    <row r="454" spans="10:11" x14ac:dyDescent="0.25">
      <c r="J454" s="39" t="str">
        <f>IF(E454="", "", IFERROR(VLOOKUP(IFERROR(VLOOKUP(SUBSTITUTE(E454,"DS ","")&amp;F454, wilayahfix!$A:$D, 2, 0), ""), user!$B:$D, 2, 0), "TIDAK KETEMU"))</f>
        <v/>
      </c>
      <c r="K454" s="39" t="str">
        <f>IF(E454="", "", IFERROR(VLOOKUP(IFERROR(VLOOKUP(SUBSTITUTE(E454,"DS ","")&amp;F454,#REF!, 2, 0), ""), user!$B:$D, 3, 0), ""))</f>
        <v/>
      </c>
    </row>
    <row r="455" spans="10:11" x14ac:dyDescent="0.25">
      <c r="J455" s="39"/>
      <c r="K455" s="39"/>
    </row>
    <row r="456" spans="10:11" x14ac:dyDescent="0.25">
      <c r="J456" s="39" t="str">
        <f>IF(E456="", "", IFERROR(VLOOKUP(IFERROR(VLOOKUP(SUBSTITUTE(E456,"DS ","")&amp;F456, wilayahfix!$A:$D, 2, 0), ""), user!$B:$D, 2, 0), "TIDAK KETEMU"))</f>
        <v/>
      </c>
      <c r="K456" s="39" t="str">
        <f>IF(E456="", "", IFERROR(VLOOKUP(IFERROR(VLOOKUP(SUBSTITUTE(E456,"DS ","")&amp;F456,#REF!, 2, 0), ""), user!$B:$D, 3, 0), ""))</f>
        <v/>
      </c>
    </row>
    <row r="457" spans="10:11" x14ac:dyDescent="0.25">
      <c r="J457" s="39"/>
      <c r="K457" s="39"/>
    </row>
    <row r="458" spans="10:11" x14ac:dyDescent="0.25">
      <c r="J458" s="39" t="str">
        <f>IF(E458="", "", IFERROR(VLOOKUP(IFERROR(VLOOKUP(SUBSTITUTE(E458,"DS ","")&amp;F458, wilayahfix!$A:$D, 2, 0), ""), user!$B:$D, 2, 0), "TIDAK KETEMU"))</f>
        <v/>
      </c>
      <c r="K458" s="39" t="str">
        <f>IF(E458="", "", IFERROR(VLOOKUP(IFERROR(VLOOKUP(SUBSTITUTE(E458,"DS ","")&amp;F458,#REF!, 2, 0), ""), user!$B:$D, 3, 0), ""))</f>
        <v/>
      </c>
    </row>
    <row r="459" spans="10:11" x14ac:dyDescent="0.25">
      <c r="J459" s="39"/>
      <c r="K459" s="39"/>
    </row>
    <row r="460" spans="10:11" x14ac:dyDescent="0.25">
      <c r="J460" s="39" t="str">
        <f>IF(E460="", "", IFERROR(VLOOKUP(IFERROR(VLOOKUP(SUBSTITUTE(E460,"DS ","")&amp;F460, wilayahfix!$A:$D, 2, 0), ""), user!$B:$D, 2, 0), "TIDAK KETEMU"))</f>
        <v/>
      </c>
      <c r="K460" s="39" t="str">
        <f>IF(E460="", "", IFERROR(VLOOKUP(IFERROR(VLOOKUP(SUBSTITUTE(E460,"DS ","")&amp;F460,#REF!, 2, 0), ""), user!$B:$D, 3, 0), ""))</f>
        <v/>
      </c>
    </row>
    <row r="461" spans="10:11" x14ac:dyDescent="0.25">
      <c r="J461" s="39"/>
      <c r="K461" s="39"/>
    </row>
    <row r="462" spans="10:11" x14ac:dyDescent="0.25">
      <c r="J462" s="39" t="str">
        <f>IF(E462="", "", IFERROR(VLOOKUP(IFERROR(VLOOKUP(SUBSTITUTE(E462,"DS ","")&amp;F462, wilayahfix!$A:$D, 2, 0), ""), user!$B:$D, 2, 0), "TIDAK KETEMU"))</f>
        <v/>
      </c>
      <c r="K462" s="39" t="str">
        <f>IF(E462="", "", IFERROR(VLOOKUP(IFERROR(VLOOKUP(SUBSTITUTE(E462,"DS ","")&amp;F462,#REF!, 2, 0), ""), user!$B:$D, 3, 0), ""))</f>
        <v/>
      </c>
    </row>
    <row r="463" spans="10:11" x14ac:dyDescent="0.25">
      <c r="J463" s="39"/>
      <c r="K463" s="39"/>
    </row>
    <row r="464" spans="10:11" x14ac:dyDescent="0.25">
      <c r="J464" s="39" t="str">
        <f>IF(E464="", "", IFERROR(VLOOKUP(IFERROR(VLOOKUP(SUBSTITUTE(E464,"DS ","")&amp;F464, wilayahfix!$A:$D, 2, 0), ""), user!$B:$D, 2, 0), "TIDAK KETEMU"))</f>
        <v/>
      </c>
      <c r="K464" s="39" t="str">
        <f>IF(E464="", "", IFERROR(VLOOKUP(IFERROR(VLOOKUP(SUBSTITUTE(E464,"DS ","")&amp;F464,#REF!, 2, 0), ""), user!$B:$D, 3, 0), ""))</f>
        <v/>
      </c>
    </row>
    <row r="465" spans="10:11" x14ac:dyDescent="0.25">
      <c r="J465" s="39"/>
      <c r="K465" s="39"/>
    </row>
    <row r="466" spans="10:11" x14ac:dyDescent="0.25">
      <c r="J466" s="39" t="str">
        <f>IF(E466="", "", IFERROR(VLOOKUP(IFERROR(VLOOKUP(SUBSTITUTE(E466,"DS ","")&amp;F466, wilayahfix!$A:$D, 2, 0), ""), user!$B:$D, 2, 0), "TIDAK KETEMU"))</f>
        <v/>
      </c>
      <c r="K466" s="39" t="str">
        <f>IF(E466="", "", IFERROR(VLOOKUP(IFERROR(VLOOKUP(SUBSTITUTE(E466,"DS ","")&amp;F466,#REF!, 2, 0), ""), user!$B:$D, 3, 0), ""))</f>
        <v/>
      </c>
    </row>
    <row r="467" spans="10:11" x14ac:dyDescent="0.25">
      <c r="J467" s="39"/>
      <c r="K467" s="39"/>
    </row>
    <row r="468" spans="10:11" x14ac:dyDescent="0.25">
      <c r="J468" s="39" t="str">
        <f>IF(E468="", "", IFERROR(VLOOKUP(IFERROR(VLOOKUP(SUBSTITUTE(E468,"DS ","")&amp;F468, wilayahfix!$A:$D, 2, 0), ""), user!$B:$D, 2, 0), "TIDAK KETEMU"))</f>
        <v/>
      </c>
      <c r="K468" s="39" t="str">
        <f>IF(E468="", "", IFERROR(VLOOKUP(IFERROR(VLOOKUP(SUBSTITUTE(E468,"DS ","")&amp;F468,#REF!, 2, 0), ""), user!$B:$D, 3, 0), ""))</f>
        <v/>
      </c>
    </row>
    <row r="469" spans="10:11" x14ac:dyDescent="0.25">
      <c r="J469" s="39"/>
      <c r="K469" s="39"/>
    </row>
    <row r="470" spans="10:11" x14ac:dyDescent="0.25">
      <c r="J470" s="39" t="str">
        <f>IF(E470="", "", IFERROR(VLOOKUP(IFERROR(VLOOKUP(SUBSTITUTE(E470,"DS ","")&amp;F470, wilayahfix!$A:$D, 2, 0), ""), user!$B:$D, 2, 0), "TIDAK KETEMU"))</f>
        <v/>
      </c>
      <c r="K470" s="39" t="str">
        <f>IF(E470="", "", IFERROR(VLOOKUP(IFERROR(VLOOKUP(SUBSTITUTE(E470,"DS ","")&amp;F470,#REF!, 2, 0), ""), user!$B:$D, 3, 0), ""))</f>
        <v/>
      </c>
    </row>
    <row r="471" spans="10:11" x14ac:dyDescent="0.25">
      <c r="J471" s="39"/>
      <c r="K471" s="39"/>
    </row>
    <row r="472" spans="10:11" x14ac:dyDescent="0.25">
      <c r="J472" s="39" t="str">
        <f>IF(E472="", "", IFERROR(VLOOKUP(IFERROR(VLOOKUP(SUBSTITUTE(E472,"DS ","")&amp;F472, wilayahfix!$A:$D, 2, 0), ""), user!$B:$D, 2, 0), "TIDAK KETEMU"))</f>
        <v/>
      </c>
      <c r="K472" s="39" t="str">
        <f>IF(E472="", "", IFERROR(VLOOKUP(IFERROR(VLOOKUP(SUBSTITUTE(E472,"DS ","")&amp;F472,#REF!, 2, 0), ""), user!$B:$D, 3, 0), ""))</f>
        <v/>
      </c>
    </row>
    <row r="473" spans="10:11" x14ac:dyDescent="0.25">
      <c r="J473" s="39"/>
      <c r="K473" s="39"/>
    </row>
    <row r="474" spans="10:11" x14ac:dyDescent="0.25">
      <c r="J474" s="39" t="str">
        <f>IF(E474="", "", IFERROR(VLOOKUP(IFERROR(VLOOKUP(SUBSTITUTE(E474,"DS ","")&amp;F474, wilayahfix!$A:$D, 2, 0), ""), user!$B:$D, 2, 0), "TIDAK KETEMU"))</f>
        <v/>
      </c>
      <c r="K474" s="39" t="str">
        <f>IF(E474="", "", IFERROR(VLOOKUP(IFERROR(VLOOKUP(SUBSTITUTE(E474,"DS ","")&amp;F474,#REF!, 2, 0), ""), user!$B:$D, 3, 0), ""))</f>
        <v/>
      </c>
    </row>
    <row r="475" spans="10:11" x14ac:dyDescent="0.25">
      <c r="J475" s="39"/>
      <c r="K475" s="39"/>
    </row>
    <row r="476" spans="10:11" x14ac:dyDescent="0.25">
      <c r="J476" s="39" t="str">
        <f>IF(E476="", "", IFERROR(VLOOKUP(IFERROR(VLOOKUP(SUBSTITUTE(E476,"DS ","")&amp;F476, wilayahfix!$A:$D, 2, 0), ""), user!$B:$D, 2, 0), "TIDAK KETEMU"))</f>
        <v/>
      </c>
      <c r="K476" s="39" t="str">
        <f>IF(E476="", "", IFERROR(VLOOKUP(IFERROR(VLOOKUP(SUBSTITUTE(E476,"DS ","")&amp;F476,#REF!, 2, 0), ""), user!$B:$D, 3, 0), ""))</f>
        <v/>
      </c>
    </row>
    <row r="477" spans="10:11" x14ac:dyDescent="0.25">
      <c r="J477" s="39"/>
      <c r="K477" s="39"/>
    </row>
    <row r="478" spans="10:11" x14ac:dyDescent="0.25">
      <c r="J478" s="39" t="str">
        <f>IF(E478="", "", IFERROR(VLOOKUP(IFERROR(VLOOKUP(SUBSTITUTE(E478,"DS ","")&amp;F478, wilayahfix!$A:$D, 2, 0), ""), user!$B:$D, 2, 0), "TIDAK KETEMU"))</f>
        <v/>
      </c>
      <c r="K478" s="39" t="str">
        <f>IF(E478="", "", IFERROR(VLOOKUP(IFERROR(VLOOKUP(SUBSTITUTE(E478,"DS ","")&amp;F478,#REF!, 2, 0), ""), user!$B:$D, 3, 0), ""))</f>
        <v/>
      </c>
    </row>
    <row r="479" spans="10:11" x14ac:dyDescent="0.25">
      <c r="J479" s="39"/>
      <c r="K479" s="39"/>
    </row>
    <row r="480" spans="10:11" x14ac:dyDescent="0.25">
      <c r="J480" s="39" t="str">
        <f>IF(E480="", "", IFERROR(VLOOKUP(IFERROR(VLOOKUP(SUBSTITUTE(E480,"DS ","")&amp;F480, wilayahfix!$A:$D, 2, 0), ""), user!$B:$D, 2, 0), "TIDAK KETEMU"))</f>
        <v/>
      </c>
      <c r="K480" s="39" t="str">
        <f>IF(E480="", "", IFERROR(VLOOKUP(IFERROR(VLOOKUP(SUBSTITUTE(E480,"DS ","")&amp;F480,#REF!, 2, 0), ""), user!$B:$D, 3, 0), ""))</f>
        <v/>
      </c>
    </row>
    <row r="481" spans="10:11" x14ac:dyDescent="0.25">
      <c r="J481" s="39"/>
      <c r="K481" s="39"/>
    </row>
    <row r="482" spans="10:11" x14ac:dyDescent="0.25">
      <c r="J482" s="39" t="str">
        <f>IF(E482="", "", IFERROR(VLOOKUP(IFERROR(VLOOKUP(SUBSTITUTE(E482,"DS ","")&amp;F482, wilayahfix!$A:$D, 2, 0), ""), user!$B:$D, 2, 0), "TIDAK KETEMU"))</f>
        <v/>
      </c>
      <c r="K482" s="39" t="str">
        <f>IF(E482="", "", IFERROR(VLOOKUP(IFERROR(VLOOKUP(SUBSTITUTE(E482,"DS ","")&amp;F482,#REF!, 2, 0), ""), user!$B:$D, 3, 0), ""))</f>
        <v/>
      </c>
    </row>
    <row r="483" spans="10:11" x14ac:dyDescent="0.25">
      <c r="J483" s="39"/>
      <c r="K483" s="39"/>
    </row>
    <row r="484" spans="10:11" x14ac:dyDescent="0.25">
      <c r="J484" s="39" t="str">
        <f>IF(E484="", "", IFERROR(VLOOKUP(IFERROR(VLOOKUP(SUBSTITUTE(E484,"DS ","")&amp;F484, wilayahfix!$A:$D, 2, 0), ""), user!$B:$D, 2, 0), "TIDAK KETEMU"))</f>
        <v/>
      </c>
      <c r="K484" s="39" t="str">
        <f>IF(E484="", "", IFERROR(VLOOKUP(IFERROR(VLOOKUP(SUBSTITUTE(E484,"DS ","")&amp;F484,#REF!, 2, 0), ""), user!$B:$D, 3, 0), ""))</f>
        <v/>
      </c>
    </row>
    <row r="485" spans="10:11" x14ac:dyDescent="0.25">
      <c r="J485" s="39"/>
      <c r="K485" s="39"/>
    </row>
    <row r="486" spans="10:11" x14ac:dyDescent="0.25">
      <c r="J486" s="39" t="str">
        <f>IF(E486="", "", IFERROR(VLOOKUP(IFERROR(VLOOKUP(SUBSTITUTE(E486,"DS ","")&amp;F486, wilayahfix!$A:$D, 2, 0), ""), user!$B:$D, 2, 0), "TIDAK KETEMU"))</f>
        <v/>
      </c>
      <c r="K486" s="39" t="str">
        <f>IF(E486="", "", IFERROR(VLOOKUP(IFERROR(VLOOKUP(SUBSTITUTE(E486,"DS ","")&amp;F486,#REF!, 2, 0), ""), user!$B:$D, 3, 0), ""))</f>
        <v/>
      </c>
    </row>
    <row r="487" spans="10:11" x14ac:dyDescent="0.25">
      <c r="J487" s="39"/>
      <c r="K487" s="39"/>
    </row>
    <row r="488" spans="10:11" x14ac:dyDescent="0.25">
      <c r="J488" s="39" t="str">
        <f>IF(E488="", "", IFERROR(VLOOKUP(IFERROR(VLOOKUP(SUBSTITUTE(E488,"DS ","")&amp;F488, wilayahfix!$A:$D, 2, 0), ""), user!$B:$D, 2, 0), "TIDAK KETEMU"))</f>
        <v/>
      </c>
      <c r="K488" s="39" t="str">
        <f>IF(E488="", "", IFERROR(VLOOKUP(IFERROR(VLOOKUP(SUBSTITUTE(E488,"DS ","")&amp;F488,#REF!, 2, 0), ""), user!$B:$D, 3, 0), ""))</f>
        <v/>
      </c>
    </row>
    <row r="489" spans="10:11" x14ac:dyDescent="0.25">
      <c r="J489" s="39"/>
      <c r="K489" s="39"/>
    </row>
    <row r="490" spans="10:11" x14ac:dyDescent="0.25">
      <c r="J490" s="39" t="str">
        <f>IF(E490="", "", IFERROR(VLOOKUP(IFERROR(VLOOKUP(SUBSTITUTE(E490,"DS ","")&amp;F490, wilayahfix!$A:$D, 2, 0), ""), user!$B:$D, 2, 0), "TIDAK KETEMU"))</f>
        <v/>
      </c>
      <c r="K490" s="39" t="str">
        <f>IF(E490="", "", IFERROR(VLOOKUP(IFERROR(VLOOKUP(SUBSTITUTE(E490,"DS ","")&amp;F490,#REF!, 2, 0), ""), user!$B:$D, 3, 0), ""))</f>
        <v/>
      </c>
    </row>
    <row r="491" spans="10:11" x14ac:dyDescent="0.25">
      <c r="J491" s="39"/>
      <c r="K491" s="39"/>
    </row>
    <row r="492" spans="10:11" x14ac:dyDescent="0.25">
      <c r="J492" s="39" t="str">
        <f>IF(E492="", "", IFERROR(VLOOKUP(IFERROR(VLOOKUP(SUBSTITUTE(E492,"DS ","")&amp;F492, wilayahfix!$A:$D, 2, 0), ""), user!$B:$D, 2, 0), "TIDAK KETEMU"))</f>
        <v/>
      </c>
      <c r="K492" s="39" t="str">
        <f>IF(E492="", "", IFERROR(VLOOKUP(IFERROR(VLOOKUP(SUBSTITUTE(E492,"DS ","")&amp;F492,#REF!, 2, 0), ""), user!$B:$D, 3, 0), ""))</f>
        <v/>
      </c>
    </row>
    <row r="493" spans="10:11" x14ac:dyDescent="0.25">
      <c r="J493" s="39"/>
      <c r="K493" s="39"/>
    </row>
    <row r="494" spans="10:11" x14ac:dyDescent="0.25">
      <c r="J494" s="39" t="str">
        <f>IF(E494="", "", IFERROR(VLOOKUP(IFERROR(VLOOKUP(SUBSTITUTE(E494,"DS ","")&amp;F494, wilayahfix!$A:$D, 2, 0), ""), user!$B:$D, 2, 0), "TIDAK KETEMU"))</f>
        <v/>
      </c>
      <c r="K494" s="39" t="str">
        <f>IF(E494="", "", IFERROR(VLOOKUP(IFERROR(VLOOKUP(SUBSTITUTE(E494,"DS ","")&amp;F494,#REF!, 2, 0), ""), user!$B:$D, 3, 0), ""))</f>
        <v/>
      </c>
    </row>
    <row r="495" spans="10:11" x14ac:dyDescent="0.25">
      <c r="J495" s="39"/>
      <c r="K495" s="39"/>
    </row>
    <row r="496" spans="10:11" x14ac:dyDescent="0.25">
      <c r="J496" s="39" t="str">
        <f>IF(E496="", "", IFERROR(VLOOKUP(IFERROR(VLOOKUP(SUBSTITUTE(E496,"DS ","")&amp;F496, wilayahfix!$A:$D, 2, 0), ""), user!$B:$D, 2, 0), "TIDAK KETEMU"))</f>
        <v/>
      </c>
      <c r="K496" s="39" t="str">
        <f>IF(E496="", "", IFERROR(VLOOKUP(IFERROR(VLOOKUP(SUBSTITUTE(E496,"DS ","")&amp;F496,#REF!, 2, 0), ""), user!$B:$D, 3, 0), ""))</f>
        <v/>
      </c>
    </row>
    <row r="497" spans="10:11" x14ac:dyDescent="0.25">
      <c r="J497" s="39"/>
      <c r="K497" s="39"/>
    </row>
    <row r="498" spans="10:11" x14ac:dyDescent="0.25">
      <c r="J498" s="39" t="str">
        <f>IF(E498="", "", IFERROR(VLOOKUP(IFERROR(VLOOKUP(SUBSTITUTE(E498,"DS ","")&amp;F498, wilayahfix!$A:$D, 2, 0), ""), user!$B:$D, 2, 0), "TIDAK KETEMU"))</f>
        <v/>
      </c>
      <c r="K498" s="39" t="str">
        <f>IF(E498="", "", IFERROR(VLOOKUP(IFERROR(VLOOKUP(SUBSTITUTE(E498,"DS ","")&amp;F498,#REF!, 2, 0), ""), user!$B:$D, 3, 0), ""))</f>
        <v/>
      </c>
    </row>
    <row r="499" spans="10:11" x14ac:dyDescent="0.25">
      <c r="J499" s="39"/>
      <c r="K499" s="39"/>
    </row>
    <row r="500" spans="10:11" x14ac:dyDescent="0.25">
      <c r="J500" s="39" t="str">
        <f>IF(E500="", "", IFERROR(VLOOKUP(IFERROR(VLOOKUP(SUBSTITUTE(E500,"DS ","")&amp;F500, wilayahfix!$A:$D, 2, 0), ""), user!$B:$D, 2, 0), "TIDAK KETEMU"))</f>
        <v/>
      </c>
      <c r="K500" s="39" t="str">
        <f>IF(E500="", "", IFERROR(VLOOKUP(IFERROR(VLOOKUP(SUBSTITUTE(E500,"DS ","")&amp;F500,#REF!, 2, 0), ""), user!$B:$D, 3, 0), ""))</f>
        <v/>
      </c>
    </row>
    <row r="501" spans="10:11" x14ac:dyDescent="0.25">
      <c r="J501" s="39"/>
      <c r="K501" s="39"/>
    </row>
    <row r="502" spans="10:11" x14ac:dyDescent="0.25">
      <c r="J502" s="39" t="str">
        <f>IF(E502="", "", IFERROR(VLOOKUP(IFERROR(VLOOKUP(SUBSTITUTE(E502,"DS ","")&amp;F502, wilayahfix!$A:$D, 2, 0), ""), user!$B:$D, 2, 0), "TIDAK KETEMU"))</f>
        <v/>
      </c>
      <c r="K502" s="39" t="str">
        <f>IF(E502="", "", IFERROR(VLOOKUP(IFERROR(VLOOKUP(SUBSTITUTE(E502,"DS ","")&amp;F502,#REF!, 2, 0), ""), user!$B:$D, 3, 0), ""))</f>
        <v/>
      </c>
    </row>
    <row r="503" spans="10:11" x14ac:dyDescent="0.25">
      <c r="J503" s="39"/>
      <c r="K503" s="39"/>
    </row>
    <row r="504" spans="10:11" x14ac:dyDescent="0.25">
      <c r="K504" s="39" t="str">
        <f>IF(E504="", "", IFERROR(VLOOKUP(IFERROR(VLOOKUP(SUBSTITUTE(E504,"DS ","")&amp;F504,#REF!, 2, 0), ""), user!$B:$D, 3, 0), ""))</f>
        <v/>
      </c>
    </row>
    <row r="505" spans="10:11" x14ac:dyDescent="0.25">
      <c r="K505" s="39"/>
    </row>
  </sheetData>
  <mergeCells count="607">
    <mergeCell ref="K504:K505"/>
    <mergeCell ref="J498:J499"/>
    <mergeCell ref="K498:K499"/>
    <mergeCell ref="J500:J501"/>
    <mergeCell ref="K500:K501"/>
    <mergeCell ref="J502:J503"/>
    <mergeCell ref="K502:K503"/>
    <mergeCell ref="J492:J493"/>
    <mergeCell ref="K492:K493"/>
    <mergeCell ref="J494:J495"/>
    <mergeCell ref="K494:K495"/>
    <mergeCell ref="J496:J497"/>
    <mergeCell ref="K496:K497"/>
    <mergeCell ref="J486:J487"/>
    <mergeCell ref="K486:K487"/>
    <mergeCell ref="J488:J489"/>
    <mergeCell ref="K488:K489"/>
    <mergeCell ref="J490:J491"/>
    <mergeCell ref="K490:K491"/>
    <mergeCell ref="J480:J481"/>
    <mergeCell ref="K480:K481"/>
    <mergeCell ref="J482:J483"/>
    <mergeCell ref="K482:K483"/>
    <mergeCell ref="J484:J485"/>
    <mergeCell ref="K484:K485"/>
    <mergeCell ref="J474:J475"/>
    <mergeCell ref="K474:K475"/>
    <mergeCell ref="J476:J477"/>
    <mergeCell ref="K476:K477"/>
    <mergeCell ref="J478:J479"/>
    <mergeCell ref="K478:K479"/>
    <mergeCell ref="J468:J469"/>
    <mergeCell ref="K468:K469"/>
    <mergeCell ref="J470:J471"/>
    <mergeCell ref="K470:K471"/>
    <mergeCell ref="J472:J473"/>
    <mergeCell ref="K472:K473"/>
    <mergeCell ref="J462:J463"/>
    <mergeCell ref="K462:K463"/>
    <mergeCell ref="J464:J465"/>
    <mergeCell ref="K464:K465"/>
    <mergeCell ref="J466:J467"/>
    <mergeCell ref="K466:K467"/>
    <mergeCell ref="J456:J457"/>
    <mergeCell ref="K456:K457"/>
    <mergeCell ref="J458:J459"/>
    <mergeCell ref="K458:K459"/>
    <mergeCell ref="J460:J461"/>
    <mergeCell ref="K460:K461"/>
    <mergeCell ref="J450:J451"/>
    <mergeCell ref="K450:K451"/>
    <mergeCell ref="J452:J453"/>
    <mergeCell ref="K452:K453"/>
    <mergeCell ref="J454:J455"/>
    <mergeCell ref="K454:K455"/>
    <mergeCell ref="J444:J445"/>
    <mergeCell ref="K444:K445"/>
    <mergeCell ref="J446:J447"/>
    <mergeCell ref="K446:K447"/>
    <mergeCell ref="J448:J449"/>
    <mergeCell ref="K448:K449"/>
    <mergeCell ref="J438:J439"/>
    <mergeCell ref="K438:K439"/>
    <mergeCell ref="J440:J441"/>
    <mergeCell ref="K440:K441"/>
    <mergeCell ref="J442:J443"/>
    <mergeCell ref="K442:K443"/>
    <mergeCell ref="J432:J433"/>
    <mergeCell ref="K432:K433"/>
    <mergeCell ref="J434:J435"/>
    <mergeCell ref="K434:K435"/>
    <mergeCell ref="J436:J437"/>
    <mergeCell ref="K436:K437"/>
    <mergeCell ref="J426:J427"/>
    <mergeCell ref="K426:K427"/>
    <mergeCell ref="J428:J429"/>
    <mergeCell ref="K428:K429"/>
    <mergeCell ref="J430:J431"/>
    <mergeCell ref="K430:K431"/>
    <mergeCell ref="J420:J421"/>
    <mergeCell ref="K420:K421"/>
    <mergeCell ref="J422:J423"/>
    <mergeCell ref="K422:K423"/>
    <mergeCell ref="J424:J425"/>
    <mergeCell ref="K424:K425"/>
    <mergeCell ref="J414:J415"/>
    <mergeCell ref="K414:K415"/>
    <mergeCell ref="J416:J417"/>
    <mergeCell ref="K416:K417"/>
    <mergeCell ref="J418:J419"/>
    <mergeCell ref="K418:K419"/>
    <mergeCell ref="J408:J409"/>
    <mergeCell ref="K408:K409"/>
    <mergeCell ref="J410:J411"/>
    <mergeCell ref="K410:K411"/>
    <mergeCell ref="J412:J413"/>
    <mergeCell ref="K412:K413"/>
    <mergeCell ref="J402:J403"/>
    <mergeCell ref="K402:K403"/>
    <mergeCell ref="J404:J405"/>
    <mergeCell ref="K404:K405"/>
    <mergeCell ref="J406:J407"/>
    <mergeCell ref="K406:K407"/>
    <mergeCell ref="J396:J397"/>
    <mergeCell ref="K396:K397"/>
    <mergeCell ref="J398:J399"/>
    <mergeCell ref="K398:K399"/>
    <mergeCell ref="J400:J401"/>
    <mergeCell ref="K400:K401"/>
    <mergeCell ref="J390:J391"/>
    <mergeCell ref="K390:K391"/>
    <mergeCell ref="J392:J393"/>
    <mergeCell ref="K392:K393"/>
    <mergeCell ref="J394:J395"/>
    <mergeCell ref="K394:K395"/>
    <mergeCell ref="J384:J385"/>
    <mergeCell ref="K384:K385"/>
    <mergeCell ref="J386:J387"/>
    <mergeCell ref="K386:K387"/>
    <mergeCell ref="J388:J389"/>
    <mergeCell ref="K388:K389"/>
    <mergeCell ref="J378:J379"/>
    <mergeCell ref="K378:K379"/>
    <mergeCell ref="J380:J381"/>
    <mergeCell ref="K380:K381"/>
    <mergeCell ref="J382:J383"/>
    <mergeCell ref="K382:K383"/>
    <mergeCell ref="J372:J373"/>
    <mergeCell ref="K372:K373"/>
    <mergeCell ref="J374:J375"/>
    <mergeCell ref="K374:K375"/>
    <mergeCell ref="J376:J377"/>
    <mergeCell ref="K376:K377"/>
    <mergeCell ref="J366:J367"/>
    <mergeCell ref="K366:K367"/>
    <mergeCell ref="J368:J369"/>
    <mergeCell ref="K368:K369"/>
    <mergeCell ref="J370:J371"/>
    <mergeCell ref="K370:K371"/>
    <mergeCell ref="J360:J361"/>
    <mergeCell ref="K360:K361"/>
    <mergeCell ref="J362:J363"/>
    <mergeCell ref="K362:K363"/>
    <mergeCell ref="J364:J365"/>
    <mergeCell ref="K364:K365"/>
    <mergeCell ref="J354:J355"/>
    <mergeCell ref="K354:K355"/>
    <mergeCell ref="J356:J357"/>
    <mergeCell ref="K356:K357"/>
    <mergeCell ref="J358:J359"/>
    <mergeCell ref="K358:K359"/>
    <mergeCell ref="J348:J349"/>
    <mergeCell ref="K348:K349"/>
    <mergeCell ref="J350:J351"/>
    <mergeCell ref="K350:K351"/>
    <mergeCell ref="J352:J353"/>
    <mergeCell ref="K352:K353"/>
    <mergeCell ref="J342:J343"/>
    <mergeCell ref="K342:K343"/>
    <mergeCell ref="J344:J345"/>
    <mergeCell ref="K344:K345"/>
    <mergeCell ref="J346:J347"/>
    <mergeCell ref="K346:K347"/>
    <mergeCell ref="J336:J337"/>
    <mergeCell ref="K336:K337"/>
    <mergeCell ref="J338:J339"/>
    <mergeCell ref="K338:K339"/>
    <mergeCell ref="J340:J341"/>
    <mergeCell ref="K340:K341"/>
    <mergeCell ref="J330:J331"/>
    <mergeCell ref="K330:K331"/>
    <mergeCell ref="J332:J333"/>
    <mergeCell ref="K332:K333"/>
    <mergeCell ref="J334:J335"/>
    <mergeCell ref="K334:K335"/>
    <mergeCell ref="J324:J325"/>
    <mergeCell ref="K324:K325"/>
    <mergeCell ref="J326:J327"/>
    <mergeCell ref="K326:K327"/>
    <mergeCell ref="J328:J329"/>
    <mergeCell ref="K328:K329"/>
    <mergeCell ref="J318:J319"/>
    <mergeCell ref="K318:K319"/>
    <mergeCell ref="J320:J321"/>
    <mergeCell ref="K320:K321"/>
    <mergeCell ref="J322:J323"/>
    <mergeCell ref="K322:K323"/>
    <mergeCell ref="J312:J313"/>
    <mergeCell ref="K312:K313"/>
    <mergeCell ref="J314:J315"/>
    <mergeCell ref="K314:K315"/>
    <mergeCell ref="J316:J317"/>
    <mergeCell ref="K316:K317"/>
    <mergeCell ref="J306:J307"/>
    <mergeCell ref="K306:K307"/>
    <mergeCell ref="J308:J309"/>
    <mergeCell ref="K308:K309"/>
    <mergeCell ref="J310:J311"/>
    <mergeCell ref="K310:K311"/>
    <mergeCell ref="J300:J301"/>
    <mergeCell ref="K300:K301"/>
    <mergeCell ref="J302:J303"/>
    <mergeCell ref="K302:K303"/>
    <mergeCell ref="J304:J305"/>
    <mergeCell ref="K304:K305"/>
    <mergeCell ref="J294:J295"/>
    <mergeCell ref="K294:K295"/>
    <mergeCell ref="J296:J297"/>
    <mergeCell ref="K296:K297"/>
    <mergeCell ref="J298:J299"/>
    <mergeCell ref="K298:K299"/>
    <mergeCell ref="J288:J289"/>
    <mergeCell ref="K288:K289"/>
    <mergeCell ref="J290:J291"/>
    <mergeCell ref="K290:K291"/>
    <mergeCell ref="J292:J293"/>
    <mergeCell ref="K292:K293"/>
    <mergeCell ref="J282:J283"/>
    <mergeCell ref="K282:K283"/>
    <mergeCell ref="J284:J285"/>
    <mergeCell ref="K284:K285"/>
    <mergeCell ref="J286:J287"/>
    <mergeCell ref="K286:K287"/>
    <mergeCell ref="J276:J277"/>
    <mergeCell ref="K276:K277"/>
    <mergeCell ref="J278:J279"/>
    <mergeCell ref="K278:K279"/>
    <mergeCell ref="J280:J281"/>
    <mergeCell ref="K280:K281"/>
    <mergeCell ref="J270:J271"/>
    <mergeCell ref="K270:K271"/>
    <mergeCell ref="J272:J273"/>
    <mergeCell ref="K272:K273"/>
    <mergeCell ref="J274:J275"/>
    <mergeCell ref="K274:K275"/>
    <mergeCell ref="J264:J265"/>
    <mergeCell ref="K264:K265"/>
    <mergeCell ref="J266:J267"/>
    <mergeCell ref="K266:K267"/>
    <mergeCell ref="J268:J269"/>
    <mergeCell ref="K268:K269"/>
    <mergeCell ref="J258:J259"/>
    <mergeCell ref="K258:K259"/>
    <mergeCell ref="J260:J261"/>
    <mergeCell ref="K260:K261"/>
    <mergeCell ref="J262:J263"/>
    <mergeCell ref="K262:K263"/>
    <mergeCell ref="J252:J253"/>
    <mergeCell ref="K252:K253"/>
    <mergeCell ref="J254:J255"/>
    <mergeCell ref="K254:K255"/>
    <mergeCell ref="J256:J257"/>
    <mergeCell ref="K256:K257"/>
    <mergeCell ref="J246:J247"/>
    <mergeCell ref="K246:K247"/>
    <mergeCell ref="J248:J249"/>
    <mergeCell ref="K248:K249"/>
    <mergeCell ref="J250:J251"/>
    <mergeCell ref="K250:K251"/>
    <mergeCell ref="J240:J241"/>
    <mergeCell ref="K240:K241"/>
    <mergeCell ref="J242:J243"/>
    <mergeCell ref="K242:K243"/>
    <mergeCell ref="J244:J245"/>
    <mergeCell ref="K244:K245"/>
    <mergeCell ref="J234:J235"/>
    <mergeCell ref="K234:K235"/>
    <mergeCell ref="J236:J237"/>
    <mergeCell ref="K236:K237"/>
    <mergeCell ref="J238:J239"/>
    <mergeCell ref="K238:K239"/>
    <mergeCell ref="J228:J229"/>
    <mergeCell ref="K228:K229"/>
    <mergeCell ref="J230:J231"/>
    <mergeCell ref="K230:K231"/>
    <mergeCell ref="J232:J233"/>
    <mergeCell ref="K232:K233"/>
    <mergeCell ref="J222:J223"/>
    <mergeCell ref="K222:K223"/>
    <mergeCell ref="J224:J225"/>
    <mergeCell ref="K224:K225"/>
    <mergeCell ref="J226:J227"/>
    <mergeCell ref="K226:K227"/>
    <mergeCell ref="J216:J217"/>
    <mergeCell ref="K216:K217"/>
    <mergeCell ref="J218:J219"/>
    <mergeCell ref="K218:K219"/>
    <mergeCell ref="J220:J221"/>
    <mergeCell ref="K220:K221"/>
    <mergeCell ref="J210:J211"/>
    <mergeCell ref="K210:K211"/>
    <mergeCell ref="J212:J213"/>
    <mergeCell ref="K212:K213"/>
    <mergeCell ref="J214:J215"/>
    <mergeCell ref="K214:K215"/>
    <mergeCell ref="J204:J205"/>
    <mergeCell ref="K204:K205"/>
    <mergeCell ref="J206:J207"/>
    <mergeCell ref="K206:K207"/>
    <mergeCell ref="J208:J209"/>
    <mergeCell ref="K208:K209"/>
    <mergeCell ref="J198:J199"/>
    <mergeCell ref="K198:K199"/>
    <mergeCell ref="J200:J201"/>
    <mergeCell ref="K200:K201"/>
    <mergeCell ref="J202:J203"/>
    <mergeCell ref="K202:K203"/>
    <mergeCell ref="J192:J193"/>
    <mergeCell ref="K192:K193"/>
    <mergeCell ref="J194:J195"/>
    <mergeCell ref="K194:K195"/>
    <mergeCell ref="J196:J197"/>
    <mergeCell ref="K196:K197"/>
    <mergeCell ref="J186:J187"/>
    <mergeCell ref="K186:K187"/>
    <mergeCell ref="J188:J189"/>
    <mergeCell ref="K188:K189"/>
    <mergeCell ref="J190:J191"/>
    <mergeCell ref="K190:K191"/>
    <mergeCell ref="J180:J181"/>
    <mergeCell ref="K180:K181"/>
    <mergeCell ref="J182:J183"/>
    <mergeCell ref="K182:K183"/>
    <mergeCell ref="J184:J185"/>
    <mergeCell ref="K184:K185"/>
    <mergeCell ref="J174:J175"/>
    <mergeCell ref="K174:K175"/>
    <mergeCell ref="J176:J177"/>
    <mergeCell ref="K176:K177"/>
    <mergeCell ref="J178:J179"/>
    <mergeCell ref="K178:K179"/>
    <mergeCell ref="J168:J169"/>
    <mergeCell ref="K168:K169"/>
    <mergeCell ref="J170:J171"/>
    <mergeCell ref="K170:K171"/>
    <mergeCell ref="J172:J173"/>
    <mergeCell ref="K172:K173"/>
    <mergeCell ref="J162:J163"/>
    <mergeCell ref="K162:K163"/>
    <mergeCell ref="J164:J165"/>
    <mergeCell ref="K164:K165"/>
    <mergeCell ref="J166:J167"/>
    <mergeCell ref="K166:K167"/>
    <mergeCell ref="J156:J157"/>
    <mergeCell ref="K156:K157"/>
    <mergeCell ref="J158:J159"/>
    <mergeCell ref="K158:K159"/>
    <mergeCell ref="J160:J161"/>
    <mergeCell ref="K160:K161"/>
    <mergeCell ref="J150:J151"/>
    <mergeCell ref="K150:K151"/>
    <mergeCell ref="J152:J153"/>
    <mergeCell ref="K152:K153"/>
    <mergeCell ref="J154:J155"/>
    <mergeCell ref="K154:K155"/>
    <mergeCell ref="J144:J145"/>
    <mergeCell ref="K144:K145"/>
    <mergeCell ref="J146:J147"/>
    <mergeCell ref="K146:K147"/>
    <mergeCell ref="J148:J149"/>
    <mergeCell ref="K148:K149"/>
    <mergeCell ref="J138:J139"/>
    <mergeCell ref="K138:K139"/>
    <mergeCell ref="J140:J141"/>
    <mergeCell ref="K140:K141"/>
    <mergeCell ref="J142:J143"/>
    <mergeCell ref="K142:K143"/>
    <mergeCell ref="J132:J133"/>
    <mergeCell ref="K132:K133"/>
    <mergeCell ref="J134:J135"/>
    <mergeCell ref="K134:K135"/>
    <mergeCell ref="J136:J137"/>
    <mergeCell ref="K136:K137"/>
    <mergeCell ref="J126:J127"/>
    <mergeCell ref="K126:K127"/>
    <mergeCell ref="J128:J129"/>
    <mergeCell ref="K128:K129"/>
    <mergeCell ref="J130:J131"/>
    <mergeCell ref="K130:K131"/>
    <mergeCell ref="J120:J121"/>
    <mergeCell ref="K120:K121"/>
    <mergeCell ref="J122:J123"/>
    <mergeCell ref="K122:K123"/>
    <mergeCell ref="J124:J125"/>
    <mergeCell ref="K124:K125"/>
    <mergeCell ref="J114:J115"/>
    <mergeCell ref="K114:K115"/>
    <mergeCell ref="J116:J117"/>
    <mergeCell ref="K116:K117"/>
    <mergeCell ref="J118:J119"/>
    <mergeCell ref="K118:K119"/>
    <mergeCell ref="J108:J109"/>
    <mergeCell ref="K108:K109"/>
    <mergeCell ref="J110:J111"/>
    <mergeCell ref="K110:K111"/>
    <mergeCell ref="J112:J113"/>
    <mergeCell ref="K112:K113"/>
    <mergeCell ref="J102:J103"/>
    <mergeCell ref="K102:K103"/>
    <mergeCell ref="J104:J105"/>
    <mergeCell ref="K104:K105"/>
    <mergeCell ref="J106:J107"/>
    <mergeCell ref="K106:K107"/>
    <mergeCell ref="J96:J97"/>
    <mergeCell ref="K96:K97"/>
    <mergeCell ref="J98:J99"/>
    <mergeCell ref="K98:K99"/>
    <mergeCell ref="J100:J101"/>
    <mergeCell ref="K100:K101"/>
    <mergeCell ref="J90:J91"/>
    <mergeCell ref="K90:K91"/>
    <mergeCell ref="J92:J93"/>
    <mergeCell ref="K92:K93"/>
    <mergeCell ref="J94:J95"/>
    <mergeCell ref="K94:K95"/>
    <mergeCell ref="J84:J85"/>
    <mergeCell ref="K84:K85"/>
    <mergeCell ref="J86:J87"/>
    <mergeCell ref="K86:K87"/>
    <mergeCell ref="J88:J89"/>
    <mergeCell ref="K88:K89"/>
    <mergeCell ref="J78:J79"/>
    <mergeCell ref="K78:K79"/>
    <mergeCell ref="J80:J81"/>
    <mergeCell ref="K80:K81"/>
    <mergeCell ref="J82:J83"/>
    <mergeCell ref="K82:K83"/>
    <mergeCell ref="J72:J73"/>
    <mergeCell ref="K72:K73"/>
    <mergeCell ref="J74:J75"/>
    <mergeCell ref="K74:K75"/>
    <mergeCell ref="J76:J77"/>
    <mergeCell ref="K76:K77"/>
    <mergeCell ref="J66:J67"/>
    <mergeCell ref="K66:K67"/>
    <mergeCell ref="J68:J69"/>
    <mergeCell ref="K68:K69"/>
    <mergeCell ref="J70:J71"/>
    <mergeCell ref="K70:K71"/>
    <mergeCell ref="J60:J61"/>
    <mergeCell ref="K60:K61"/>
    <mergeCell ref="J62:J63"/>
    <mergeCell ref="K62:K63"/>
    <mergeCell ref="J64:J65"/>
    <mergeCell ref="K64:K65"/>
    <mergeCell ref="J54:J55"/>
    <mergeCell ref="K54:K55"/>
    <mergeCell ref="J56:J57"/>
    <mergeCell ref="K56:K57"/>
    <mergeCell ref="J58:J59"/>
    <mergeCell ref="K58:K59"/>
    <mergeCell ref="J48:J49"/>
    <mergeCell ref="K48:K49"/>
    <mergeCell ref="J50:J51"/>
    <mergeCell ref="K50:K51"/>
    <mergeCell ref="J52:J53"/>
    <mergeCell ref="K52:K53"/>
    <mergeCell ref="J42:J43"/>
    <mergeCell ref="K42:K43"/>
    <mergeCell ref="J44:J45"/>
    <mergeCell ref="K44:K45"/>
    <mergeCell ref="J46:J47"/>
    <mergeCell ref="K46:K47"/>
    <mergeCell ref="J36:J37"/>
    <mergeCell ref="K36:K37"/>
    <mergeCell ref="J38:J39"/>
    <mergeCell ref="K38:K39"/>
    <mergeCell ref="J40:J41"/>
    <mergeCell ref="K40:K41"/>
    <mergeCell ref="J30:J31"/>
    <mergeCell ref="K30:K31"/>
    <mergeCell ref="J32:J33"/>
    <mergeCell ref="K32:K33"/>
    <mergeCell ref="J34:J35"/>
    <mergeCell ref="K34:K35"/>
    <mergeCell ref="H26:H27"/>
    <mergeCell ref="I26:I27"/>
    <mergeCell ref="J26:J27"/>
    <mergeCell ref="K26:K27"/>
    <mergeCell ref="J28:J29"/>
    <mergeCell ref="K28:K29"/>
    <mergeCell ref="H24:H25"/>
    <mergeCell ref="I24:I25"/>
    <mergeCell ref="J24:J25"/>
    <mergeCell ref="K24:K25"/>
    <mergeCell ref="A26:A27"/>
    <mergeCell ref="B26:B27"/>
    <mergeCell ref="C26:C27"/>
    <mergeCell ref="E26:E27"/>
    <mergeCell ref="F26:F27"/>
    <mergeCell ref="G26:G27"/>
    <mergeCell ref="H22:H23"/>
    <mergeCell ref="I22:I23"/>
    <mergeCell ref="J22:J23"/>
    <mergeCell ref="K22:K23"/>
    <mergeCell ref="A24:A25"/>
    <mergeCell ref="B24:B25"/>
    <mergeCell ref="C24:C25"/>
    <mergeCell ref="E24:E25"/>
    <mergeCell ref="F24:F25"/>
    <mergeCell ref="G24:G25"/>
    <mergeCell ref="H20:H21"/>
    <mergeCell ref="I20:I21"/>
    <mergeCell ref="J20:J21"/>
    <mergeCell ref="K20:K21"/>
    <mergeCell ref="A22:A23"/>
    <mergeCell ref="B22:B23"/>
    <mergeCell ref="C22:C23"/>
    <mergeCell ref="E22:E23"/>
    <mergeCell ref="F22:F23"/>
    <mergeCell ref="G22:G23"/>
    <mergeCell ref="H18:H19"/>
    <mergeCell ref="I18:I19"/>
    <mergeCell ref="J18:J19"/>
    <mergeCell ref="K18:K19"/>
    <mergeCell ref="A20:A21"/>
    <mergeCell ref="B20:B21"/>
    <mergeCell ref="C20:C21"/>
    <mergeCell ref="E20:E21"/>
    <mergeCell ref="F20:F21"/>
    <mergeCell ref="G20:G21"/>
    <mergeCell ref="H16:H17"/>
    <mergeCell ref="I16:I17"/>
    <mergeCell ref="J16:J17"/>
    <mergeCell ref="K16:K17"/>
    <mergeCell ref="A18:A19"/>
    <mergeCell ref="B18:B19"/>
    <mergeCell ref="C18:C19"/>
    <mergeCell ref="E18:E19"/>
    <mergeCell ref="F18:F19"/>
    <mergeCell ref="G18:G19"/>
    <mergeCell ref="H14:H15"/>
    <mergeCell ref="I14:I15"/>
    <mergeCell ref="J14:J15"/>
    <mergeCell ref="K14:K15"/>
    <mergeCell ref="A16:A17"/>
    <mergeCell ref="B16:B17"/>
    <mergeCell ref="C16:C17"/>
    <mergeCell ref="E16:E17"/>
    <mergeCell ref="F16:F17"/>
    <mergeCell ref="G16:G17"/>
    <mergeCell ref="H12:H13"/>
    <mergeCell ref="I12:I13"/>
    <mergeCell ref="J12:J13"/>
    <mergeCell ref="K12:K13"/>
    <mergeCell ref="A14:A15"/>
    <mergeCell ref="B14:B15"/>
    <mergeCell ref="C14:C15"/>
    <mergeCell ref="E14:E15"/>
    <mergeCell ref="F14:F15"/>
    <mergeCell ref="G14:G15"/>
    <mergeCell ref="H10:H11"/>
    <mergeCell ref="I10:I11"/>
    <mergeCell ref="J10:J11"/>
    <mergeCell ref="K10:K11"/>
    <mergeCell ref="A12:A13"/>
    <mergeCell ref="B12:B13"/>
    <mergeCell ref="C12:C13"/>
    <mergeCell ref="E12:E13"/>
    <mergeCell ref="F12:F13"/>
    <mergeCell ref="G12:G13"/>
    <mergeCell ref="H8:H9"/>
    <mergeCell ref="I8:I9"/>
    <mergeCell ref="J8:J9"/>
    <mergeCell ref="K8:K9"/>
    <mergeCell ref="A10:A11"/>
    <mergeCell ref="B10:B11"/>
    <mergeCell ref="C10:C11"/>
    <mergeCell ref="E10:E11"/>
    <mergeCell ref="F10:F11"/>
    <mergeCell ref="G10:G11"/>
    <mergeCell ref="H6:H7"/>
    <mergeCell ref="I6:I7"/>
    <mergeCell ref="J6:J7"/>
    <mergeCell ref="K6:K7"/>
    <mergeCell ref="A8:A9"/>
    <mergeCell ref="B8:B9"/>
    <mergeCell ref="C8:C9"/>
    <mergeCell ref="E8:E9"/>
    <mergeCell ref="F8:F9"/>
    <mergeCell ref="G8:G9"/>
    <mergeCell ref="H4:H5"/>
    <mergeCell ref="I4:I5"/>
    <mergeCell ref="J4:J5"/>
    <mergeCell ref="K4:K5"/>
    <mergeCell ref="A6:A7"/>
    <mergeCell ref="B6:B7"/>
    <mergeCell ref="C6:C7"/>
    <mergeCell ref="E6:E7"/>
    <mergeCell ref="F6:F7"/>
    <mergeCell ref="G6:G7"/>
    <mergeCell ref="H2:H3"/>
    <mergeCell ref="I2:I3"/>
    <mergeCell ref="J2:J3"/>
    <mergeCell ref="K2:K3"/>
    <mergeCell ref="A4:A5"/>
    <mergeCell ref="B4:B5"/>
    <mergeCell ref="C4:C5"/>
    <mergeCell ref="E4:E5"/>
    <mergeCell ref="F4:F5"/>
    <mergeCell ref="G4:G5"/>
    <mergeCell ref="A2:A3"/>
    <mergeCell ref="B2:B3"/>
    <mergeCell ref="C2:C3"/>
    <mergeCell ref="E2:E3"/>
    <mergeCell ref="F2:F3"/>
    <mergeCell ref="G2:G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2"/>
  <sheetViews>
    <sheetView workbookViewId="0">
      <selection activeCell="I27" sqref="I27"/>
    </sheetView>
  </sheetViews>
  <sheetFormatPr defaultRowHeight="15" x14ac:dyDescent="0.25"/>
  <cols>
    <col min="1" max="1" width="5.7109375" customWidth="1"/>
    <col min="2" max="2" width="29.140625" style="3" bestFit="1" customWidth="1"/>
    <col min="3" max="3" width="22.42578125" style="3" bestFit="1" customWidth="1"/>
    <col min="4" max="4" width="12.5703125" bestFit="1" customWidth="1"/>
  </cols>
  <sheetData>
    <row r="1" spans="1:4" ht="14.45" x14ac:dyDescent="0.3">
      <c r="A1" s="11" t="s">
        <v>20</v>
      </c>
      <c r="B1" s="10" t="s">
        <v>21</v>
      </c>
      <c r="C1" s="8" t="s">
        <v>95</v>
      </c>
      <c r="D1" s="13" t="s">
        <v>19</v>
      </c>
    </row>
    <row r="2" spans="1:4" ht="14.45" x14ac:dyDescent="0.3">
      <c r="A2" s="7">
        <v>1</v>
      </c>
      <c r="B2" s="5" t="s">
        <v>107</v>
      </c>
      <c r="C2" s="3" t="s">
        <v>16</v>
      </c>
      <c r="D2" s="12" t="s">
        <v>22</v>
      </c>
    </row>
    <row r="3" spans="1:4" ht="14.45" x14ac:dyDescent="0.3">
      <c r="A3" s="7">
        <v>2</v>
      </c>
      <c r="B3" s="4" t="s">
        <v>23</v>
      </c>
      <c r="C3" s="3" t="s">
        <v>24</v>
      </c>
      <c r="D3" s="12" t="s">
        <v>25</v>
      </c>
    </row>
    <row r="4" spans="1:4" ht="14.45" x14ac:dyDescent="0.3">
      <c r="A4" s="7">
        <v>3</v>
      </c>
      <c r="B4" s="4" t="s">
        <v>26</v>
      </c>
      <c r="C4" s="3" t="s">
        <v>27</v>
      </c>
      <c r="D4" s="12" t="s">
        <v>28</v>
      </c>
    </row>
    <row r="5" spans="1:4" ht="14.45" x14ac:dyDescent="0.3">
      <c r="A5" s="7">
        <v>4</v>
      </c>
      <c r="B5" s="5" t="s">
        <v>29</v>
      </c>
      <c r="C5" s="3" t="s">
        <v>30</v>
      </c>
      <c r="D5" s="12" t="s">
        <v>31</v>
      </c>
    </row>
    <row r="6" spans="1:4" ht="14.45" x14ac:dyDescent="0.3">
      <c r="A6" s="7">
        <v>5</v>
      </c>
      <c r="B6" s="5" t="s">
        <v>113</v>
      </c>
      <c r="C6" s="3" t="s">
        <v>32</v>
      </c>
      <c r="D6" s="12" t="s">
        <v>33</v>
      </c>
    </row>
    <row r="7" spans="1:4" ht="14.45" x14ac:dyDescent="0.3">
      <c r="A7" s="7">
        <v>6</v>
      </c>
      <c r="B7" s="5" t="s">
        <v>34</v>
      </c>
      <c r="C7" s="3" t="s">
        <v>35</v>
      </c>
      <c r="D7" s="12" t="s">
        <v>36</v>
      </c>
    </row>
    <row r="8" spans="1:4" ht="14.45" x14ac:dyDescent="0.3">
      <c r="A8" s="7">
        <v>7</v>
      </c>
      <c r="B8" s="5" t="s">
        <v>37</v>
      </c>
      <c r="C8" s="3" t="s">
        <v>38</v>
      </c>
      <c r="D8" s="12" t="s">
        <v>39</v>
      </c>
    </row>
    <row r="9" spans="1:4" ht="14.45" x14ac:dyDescent="0.3">
      <c r="A9" s="7">
        <v>8</v>
      </c>
      <c r="B9" s="5" t="s">
        <v>123</v>
      </c>
      <c r="C9" s="3" t="s">
        <v>40</v>
      </c>
      <c r="D9" s="12" t="s">
        <v>41</v>
      </c>
    </row>
    <row r="10" spans="1:4" ht="14.45" x14ac:dyDescent="0.3">
      <c r="A10" s="7">
        <v>9</v>
      </c>
      <c r="B10" s="5" t="s">
        <v>121</v>
      </c>
      <c r="C10" s="3" t="s">
        <v>42</v>
      </c>
      <c r="D10" s="12" t="s">
        <v>43</v>
      </c>
    </row>
    <row r="11" spans="1:4" ht="14.45" x14ac:dyDescent="0.3">
      <c r="A11" s="7">
        <v>10</v>
      </c>
      <c r="B11" s="4" t="s">
        <v>44</v>
      </c>
      <c r="C11" s="3" t="s">
        <v>45</v>
      </c>
      <c r="D11" s="12" t="s">
        <v>46</v>
      </c>
    </row>
    <row r="12" spans="1:4" ht="14.45" x14ac:dyDescent="0.3">
      <c r="A12" s="7">
        <v>11</v>
      </c>
      <c r="B12" s="4" t="s">
        <v>47</v>
      </c>
      <c r="C12" s="3" t="s">
        <v>48</v>
      </c>
      <c r="D12" s="12" t="s">
        <v>49</v>
      </c>
    </row>
    <row r="13" spans="1:4" ht="14.45" x14ac:dyDescent="0.3">
      <c r="A13" s="7">
        <v>12</v>
      </c>
      <c r="B13" s="5" t="s">
        <v>50</v>
      </c>
      <c r="C13" s="3" t="s">
        <v>51</v>
      </c>
      <c r="D13" s="12" t="s">
        <v>52</v>
      </c>
    </row>
    <row r="14" spans="1:4" ht="14.45" x14ac:dyDescent="0.3">
      <c r="A14" s="7">
        <v>13</v>
      </c>
      <c r="B14" s="5" t="s">
        <v>119</v>
      </c>
      <c r="C14" s="3" t="s">
        <v>53</v>
      </c>
      <c r="D14" s="12" t="s">
        <v>54</v>
      </c>
    </row>
    <row r="15" spans="1:4" ht="14.45" x14ac:dyDescent="0.3">
      <c r="A15" s="7">
        <v>14</v>
      </c>
      <c r="B15" s="4" t="s">
        <v>55</v>
      </c>
      <c r="C15" s="3" t="s">
        <v>56</v>
      </c>
      <c r="D15" s="12" t="s">
        <v>57</v>
      </c>
    </row>
    <row r="16" spans="1:4" ht="14.45" x14ac:dyDescent="0.3">
      <c r="A16" s="7">
        <v>15</v>
      </c>
      <c r="B16" s="5" t="s">
        <v>58</v>
      </c>
      <c r="C16" s="3" t="s">
        <v>59</v>
      </c>
      <c r="D16" s="12" t="s">
        <v>60</v>
      </c>
    </row>
    <row r="17" spans="1:4" ht="14.45" x14ac:dyDescent="0.3">
      <c r="A17" s="7">
        <v>16</v>
      </c>
      <c r="B17" s="4" t="s">
        <v>61</v>
      </c>
      <c r="C17" s="3" t="s">
        <v>62</v>
      </c>
      <c r="D17" s="12" t="s">
        <v>63</v>
      </c>
    </row>
    <row r="18" spans="1:4" ht="14.45" x14ac:dyDescent="0.3">
      <c r="A18" s="7">
        <v>17</v>
      </c>
      <c r="B18" s="5" t="s">
        <v>64</v>
      </c>
      <c r="C18" s="3" t="s">
        <v>65</v>
      </c>
      <c r="D18" s="12" t="s">
        <v>66</v>
      </c>
    </row>
    <row r="19" spans="1:4" ht="14.45" x14ac:dyDescent="0.3">
      <c r="A19" s="7">
        <v>18</v>
      </c>
      <c r="B19" s="4" t="s">
        <v>67</v>
      </c>
      <c r="C19" s="3" t="s">
        <v>68</v>
      </c>
      <c r="D19" s="9">
        <v>250005</v>
      </c>
    </row>
    <row r="20" spans="1:4" ht="14.45" x14ac:dyDescent="0.3">
      <c r="A20" s="7">
        <v>19</v>
      </c>
      <c r="B20" s="5" t="s">
        <v>69</v>
      </c>
      <c r="C20" s="3" t="s">
        <v>70</v>
      </c>
      <c r="D20" s="12" t="s">
        <v>71</v>
      </c>
    </row>
    <row r="21" spans="1:4" ht="14.45" x14ac:dyDescent="0.3">
      <c r="A21" s="7">
        <v>20</v>
      </c>
      <c r="B21" s="5" t="s">
        <v>100</v>
      </c>
      <c r="C21" s="3" t="s">
        <v>72</v>
      </c>
      <c r="D21" s="12" t="s">
        <v>73</v>
      </c>
    </row>
    <row r="22" spans="1:4" ht="14.45" x14ac:dyDescent="0.3">
      <c r="A22" s="7">
        <v>21</v>
      </c>
      <c r="B22" s="5" t="s">
        <v>104</v>
      </c>
      <c r="C22" s="3" t="s">
        <v>74</v>
      </c>
      <c r="D22" s="12" t="s">
        <v>75</v>
      </c>
    </row>
    <row r="23" spans="1:4" ht="14.45" x14ac:dyDescent="0.3">
      <c r="A23" s="7">
        <v>22</v>
      </c>
      <c r="B23" s="4" t="s">
        <v>76</v>
      </c>
      <c r="C23" s="3" t="s">
        <v>77</v>
      </c>
      <c r="D23" s="12" t="s">
        <v>78</v>
      </c>
    </row>
    <row r="24" spans="1:4" ht="14.45" x14ac:dyDescent="0.3">
      <c r="A24" s="7">
        <v>23</v>
      </c>
      <c r="B24" s="5" t="s">
        <v>126</v>
      </c>
      <c r="C24" s="3" t="s">
        <v>79</v>
      </c>
      <c r="D24" s="12" t="s">
        <v>80</v>
      </c>
    </row>
    <row r="25" spans="1:4" ht="14.45" x14ac:dyDescent="0.3">
      <c r="A25" s="7">
        <v>24</v>
      </c>
      <c r="B25" t="s">
        <v>129</v>
      </c>
      <c r="C25" s="3" t="s">
        <v>1</v>
      </c>
      <c r="D25" s="12" t="s">
        <v>81</v>
      </c>
    </row>
    <row r="26" spans="1:4" ht="28.9" x14ac:dyDescent="0.3">
      <c r="A26" s="7">
        <v>25</v>
      </c>
      <c r="B26" s="5" t="s">
        <v>130</v>
      </c>
      <c r="C26" s="3" t="s">
        <v>17</v>
      </c>
      <c r="D26" s="12" t="s">
        <v>82</v>
      </c>
    </row>
    <row r="27" spans="1:4" ht="14.45" x14ac:dyDescent="0.3">
      <c r="A27" s="7">
        <v>26</v>
      </c>
      <c r="B27" s="5" t="s">
        <v>131</v>
      </c>
      <c r="C27" s="3" t="s">
        <v>83</v>
      </c>
      <c r="D27" s="12" t="s">
        <v>84</v>
      </c>
    </row>
    <row r="28" spans="1:4" ht="14.45" x14ac:dyDescent="0.3">
      <c r="A28" s="7">
        <v>27</v>
      </c>
      <c r="B28" s="14" t="s">
        <v>132</v>
      </c>
      <c r="C28" s="3" t="s">
        <v>85</v>
      </c>
      <c r="D28" s="12" t="s">
        <v>86</v>
      </c>
    </row>
    <row r="29" spans="1:4" ht="14.45" x14ac:dyDescent="0.3">
      <c r="A29" s="7">
        <v>28</v>
      </c>
      <c r="B29" s="5" t="s">
        <v>111</v>
      </c>
      <c r="C29" s="3" t="s">
        <v>87</v>
      </c>
      <c r="D29" s="12" t="s">
        <v>88</v>
      </c>
    </row>
    <row r="30" spans="1:4" ht="14.45" x14ac:dyDescent="0.3">
      <c r="A30" s="7">
        <v>29</v>
      </c>
      <c r="B30" s="5" t="s">
        <v>89</v>
      </c>
      <c r="C30" s="3" t="s">
        <v>90</v>
      </c>
      <c r="D30" s="12" t="s">
        <v>89</v>
      </c>
    </row>
    <row r="31" spans="1:4" ht="14.45" x14ac:dyDescent="0.3">
      <c r="A31" s="7">
        <v>30</v>
      </c>
      <c r="B31" s="5" t="s">
        <v>114</v>
      </c>
      <c r="C31" s="3" t="s">
        <v>91</v>
      </c>
      <c r="D31" s="12" t="s">
        <v>92</v>
      </c>
    </row>
    <row r="32" spans="1:4" ht="14.45" x14ac:dyDescent="0.3">
      <c r="A32" s="7">
        <v>31</v>
      </c>
      <c r="B32" s="6" t="s">
        <v>134</v>
      </c>
      <c r="C32" s="3" t="s">
        <v>93</v>
      </c>
      <c r="D32" s="12" t="s">
        <v>94</v>
      </c>
    </row>
  </sheetData>
  <phoneticPr fontId="19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07"/>
  <sheetViews>
    <sheetView topLeftCell="A280" workbookViewId="0">
      <selection activeCell="D304" sqref="D304"/>
    </sheetView>
  </sheetViews>
  <sheetFormatPr defaultRowHeight="15" x14ac:dyDescent="0.25"/>
  <cols>
    <col min="1" max="1" width="43.7109375" customWidth="1"/>
    <col min="2" max="2" width="34" bestFit="1" customWidth="1"/>
    <col min="3" max="3" width="22.5703125" bestFit="1" customWidth="1"/>
    <col min="4" max="4" width="22.140625" bestFit="1" customWidth="1"/>
  </cols>
  <sheetData>
    <row r="1" spans="1:4" ht="14.45" x14ac:dyDescent="0.3">
      <c r="B1" t="s">
        <v>96</v>
      </c>
      <c r="C1" t="s">
        <v>162</v>
      </c>
      <c r="D1" t="s">
        <v>6</v>
      </c>
    </row>
    <row r="2" spans="1:4" ht="14.45" x14ac:dyDescent="0.3">
      <c r="A2" t="str">
        <f>D2&amp;C2</f>
        <v>BANDARKEDUNGMULYOBANDAR KEDUNG MULYO</v>
      </c>
      <c r="B2" s="15" t="s">
        <v>37</v>
      </c>
      <c r="C2" s="15" t="s">
        <v>97</v>
      </c>
      <c r="D2" s="15" t="s">
        <v>321</v>
      </c>
    </row>
    <row r="3" spans="1:4" ht="14.45" x14ac:dyDescent="0.3">
      <c r="A3" t="str">
        <f t="shared" ref="A3:A66" si="0">D3&amp;C3</f>
        <v>BANJARSARIBANDAR KEDUNG MULYO</v>
      </c>
      <c r="B3" s="15" t="s">
        <v>37</v>
      </c>
      <c r="C3" s="15" t="s">
        <v>97</v>
      </c>
      <c r="D3" s="15" t="s">
        <v>303</v>
      </c>
    </row>
    <row r="4" spans="1:4" ht="14.45" x14ac:dyDescent="0.3">
      <c r="A4" t="str">
        <f t="shared" si="0"/>
        <v>BARONGSAWAHANBANDAR KEDUNG MULYO</v>
      </c>
      <c r="B4" s="15" t="s">
        <v>37</v>
      </c>
      <c r="C4" s="15" t="s">
        <v>97</v>
      </c>
      <c r="D4" s="15" t="s">
        <v>304</v>
      </c>
    </row>
    <row r="5" spans="1:4" ht="14.45" x14ac:dyDescent="0.3">
      <c r="A5" t="str">
        <f t="shared" si="0"/>
        <v>BRANGKALBANDAR KEDUNG MULYO</v>
      </c>
      <c r="B5" s="15" t="s">
        <v>37</v>
      </c>
      <c r="C5" s="15" t="s">
        <v>97</v>
      </c>
      <c r="D5" s="15" t="s">
        <v>305</v>
      </c>
    </row>
    <row r="6" spans="1:4" ht="14.45" x14ac:dyDescent="0.3">
      <c r="A6" t="str">
        <f t="shared" si="0"/>
        <v>BRODOTBANDAR KEDUNG MULYO</v>
      </c>
      <c r="B6" s="15" t="s">
        <v>37</v>
      </c>
      <c r="C6" s="15" t="s">
        <v>97</v>
      </c>
      <c r="D6" s="15" t="s">
        <v>306</v>
      </c>
    </row>
    <row r="7" spans="1:4" ht="14.45" x14ac:dyDescent="0.3">
      <c r="A7" t="str">
        <f t="shared" si="0"/>
        <v>GONDANGMANISBANDAR KEDUNG MULYO</v>
      </c>
      <c r="B7" s="15" t="s">
        <v>37</v>
      </c>
      <c r="C7" s="15" t="s">
        <v>97</v>
      </c>
      <c r="D7" s="15" t="s">
        <v>307</v>
      </c>
    </row>
    <row r="8" spans="1:4" ht="14.45" x14ac:dyDescent="0.3">
      <c r="A8" t="str">
        <f t="shared" si="0"/>
        <v>KARANGDAGANGANBANDAR KEDUNG MULYO</v>
      </c>
      <c r="B8" s="15" t="s">
        <v>37</v>
      </c>
      <c r="C8" s="15" t="s">
        <v>97</v>
      </c>
      <c r="D8" s="15" t="s">
        <v>308</v>
      </c>
    </row>
    <row r="9" spans="1:4" ht="14.45" x14ac:dyDescent="0.3">
      <c r="A9" t="str">
        <f t="shared" si="0"/>
        <v>KAYENBANDAR KEDUNG MULYO</v>
      </c>
      <c r="B9" s="15" t="s">
        <v>37</v>
      </c>
      <c r="C9" s="15" t="s">
        <v>97</v>
      </c>
      <c r="D9" s="15" t="s">
        <v>322</v>
      </c>
    </row>
    <row r="10" spans="1:4" ht="14.45" x14ac:dyDescent="0.3">
      <c r="A10" t="str">
        <f t="shared" si="0"/>
        <v>MOJOKAMBANGBANDAR KEDUNG MULYO</v>
      </c>
      <c r="B10" s="15" t="s">
        <v>37</v>
      </c>
      <c r="C10" s="15" t="s">
        <v>97</v>
      </c>
      <c r="D10" s="15" t="s">
        <v>309</v>
      </c>
    </row>
    <row r="11" spans="1:4" ht="14.45" x14ac:dyDescent="0.3">
      <c r="A11" t="str">
        <f t="shared" si="0"/>
        <v>PUCANGSIMOBANDAR KEDUNG MULYO</v>
      </c>
      <c r="B11" s="15" t="s">
        <v>37</v>
      </c>
      <c r="C11" s="15" t="s">
        <v>97</v>
      </c>
      <c r="D11" s="15" t="s">
        <v>323</v>
      </c>
    </row>
    <row r="12" spans="1:4" ht="14.45" x14ac:dyDescent="0.3">
      <c r="A12" t="str">
        <f t="shared" si="0"/>
        <v>TINGGARBANDAR KEDUNG MULYO</v>
      </c>
      <c r="B12" s="15" t="s">
        <v>37</v>
      </c>
      <c r="C12" s="15" t="s">
        <v>97</v>
      </c>
      <c r="D12" s="15" t="s">
        <v>310</v>
      </c>
    </row>
    <row r="13" spans="1:4" ht="14.45" x14ac:dyDescent="0.3">
      <c r="A13" t="str">
        <f t="shared" si="0"/>
        <v>GADINGMANGUPERAK</v>
      </c>
      <c r="B13" s="15" t="s">
        <v>23</v>
      </c>
      <c r="C13" s="15" t="s">
        <v>98</v>
      </c>
      <c r="D13" s="15" t="s">
        <v>135</v>
      </c>
    </row>
    <row r="14" spans="1:4" ht="14.45" x14ac:dyDescent="0.3">
      <c r="A14" t="str">
        <f t="shared" si="0"/>
        <v>PAGERWOJOPERAK</v>
      </c>
      <c r="B14" s="15" t="s">
        <v>23</v>
      </c>
      <c r="C14" s="15" t="s">
        <v>98</v>
      </c>
      <c r="D14" s="15" t="s">
        <v>163</v>
      </c>
    </row>
    <row r="15" spans="1:4" ht="14.45" x14ac:dyDescent="0.3">
      <c r="A15" t="str">
        <f t="shared" si="0"/>
        <v>PERAKPERAK</v>
      </c>
      <c r="B15" s="15" t="s">
        <v>23</v>
      </c>
      <c r="C15" s="15" t="s">
        <v>98</v>
      </c>
      <c r="D15" s="15" t="s">
        <v>98</v>
      </c>
    </row>
    <row r="16" spans="1:4" ht="14.45" x14ac:dyDescent="0.3">
      <c r="A16" t="str">
        <f t="shared" si="0"/>
        <v>KALANG SEMANDINGPERAK</v>
      </c>
      <c r="B16" s="15" t="s">
        <v>23</v>
      </c>
      <c r="C16" s="15" t="s">
        <v>98</v>
      </c>
      <c r="D16" s="15" t="s">
        <v>164</v>
      </c>
    </row>
    <row r="17" spans="1:4" ht="14.45" x14ac:dyDescent="0.3">
      <c r="A17" t="str">
        <f t="shared" si="0"/>
        <v>KEPUH KAJANGPERAK</v>
      </c>
      <c r="B17" s="15" t="s">
        <v>23</v>
      </c>
      <c r="C17" s="15" t="s">
        <v>98</v>
      </c>
      <c r="D17" s="15" t="s">
        <v>165</v>
      </c>
    </row>
    <row r="18" spans="1:4" ht="14.45" x14ac:dyDescent="0.3">
      <c r="A18" t="str">
        <f t="shared" si="0"/>
        <v>SEMBUNGPERAK</v>
      </c>
      <c r="B18" s="15" t="s">
        <v>23</v>
      </c>
      <c r="C18" s="15" t="s">
        <v>98</v>
      </c>
      <c r="D18" s="15" t="s">
        <v>166</v>
      </c>
    </row>
    <row r="19" spans="1:4" ht="14.45" x14ac:dyDescent="0.3">
      <c r="A19" t="str">
        <f t="shared" si="0"/>
        <v>GLAGAHANPERAK</v>
      </c>
      <c r="B19" s="15" t="s">
        <v>23</v>
      </c>
      <c r="C19" s="15" t="s">
        <v>98</v>
      </c>
      <c r="D19" s="15" t="s">
        <v>167</v>
      </c>
    </row>
    <row r="20" spans="1:4" ht="14.45" x14ac:dyDescent="0.3">
      <c r="A20" t="str">
        <f t="shared" si="0"/>
        <v>TEMUWULANPERAK</v>
      </c>
      <c r="B20" s="15" t="s">
        <v>23</v>
      </c>
      <c r="C20" s="15" t="s">
        <v>98</v>
      </c>
      <c r="D20" s="15" t="s">
        <v>168</v>
      </c>
    </row>
    <row r="21" spans="1:4" ht="14.45" x14ac:dyDescent="0.3">
      <c r="A21" t="str">
        <f t="shared" si="0"/>
        <v>CANGKRINGRANDUPERAK</v>
      </c>
      <c r="B21" s="15" t="s">
        <v>23</v>
      </c>
      <c r="C21" s="15" t="s">
        <v>98</v>
      </c>
      <c r="D21" s="15" t="s">
        <v>169</v>
      </c>
    </row>
    <row r="22" spans="1:4" ht="14.45" x14ac:dyDescent="0.3">
      <c r="A22" t="str">
        <f t="shared" si="0"/>
        <v>SUKOREJOPERAK</v>
      </c>
      <c r="B22" s="15" t="s">
        <v>23</v>
      </c>
      <c r="C22" s="15" t="s">
        <v>98</v>
      </c>
      <c r="D22" s="15" t="s">
        <v>170</v>
      </c>
    </row>
    <row r="23" spans="1:4" ht="14.45" x14ac:dyDescent="0.3">
      <c r="A23" t="str">
        <f t="shared" si="0"/>
        <v>GUDOGUDO</v>
      </c>
      <c r="B23" s="15" t="s">
        <v>26</v>
      </c>
      <c r="C23" s="15" t="s">
        <v>99</v>
      </c>
      <c r="D23" s="15" t="s">
        <v>99</v>
      </c>
    </row>
    <row r="24" spans="1:4" ht="14.45" x14ac:dyDescent="0.3">
      <c r="A24" t="str">
        <f t="shared" si="0"/>
        <v>PESANGGRAHANGUDO</v>
      </c>
      <c r="B24" s="15" t="s">
        <v>26</v>
      </c>
      <c r="C24" s="15" t="s">
        <v>99</v>
      </c>
      <c r="D24" s="15" t="s">
        <v>171</v>
      </c>
    </row>
    <row r="25" spans="1:4" ht="14.45" x14ac:dyDescent="0.3">
      <c r="A25" t="str">
        <f t="shared" si="0"/>
        <v>SUKOPINGGIRGUDO</v>
      </c>
      <c r="B25" s="15" t="s">
        <v>26</v>
      </c>
      <c r="C25" s="15" t="s">
        <v>99</v>
      </c>
      <c r="D25" s="15" t="s">
        <v>172</v>
      </c>
    </row>
    <row r="26" spans="1:4" ht="14.45" x14ac:dyDescent="0.3">
      <c r="A26" t="str">
        <f t="shared" si="0"/>
        <v>SUKOIBERGUDO</v>
      </c>
      <c r="B26" s="15" t="s">
        <v>26</v>
      </c>
      <c r="C26" s="15" t="s">
        <v>99</v>
      </c>
      <c r="D26" s="15" t="s">
        <v>173</v>
      </c>
    </row>
    <row r="27" spans="1:4" ht="14.45" x14ac:dyDescent="0.3">
      <c r="A27" t="str">
        <f t="shared" si="0"/>
        <v>SEPAYULGUDO</v>
      </c>
      <c r="B27" s="15" t="s">
        <v>26</v>
      </c>
      <c r="C27" s="15" t="s">
        <v>99</v>
      </c>
      <c r="D27" s="15" t="s">
        <v>174</v>
      </c>
    </row>
    <row r="28" spans="1:4" ht="14.45" x14ac:dyDescent="0.3">
      <c r="A28" t="str">
        <f t="shared" si="0"/>
        <v>KREMBANGANGUDO</v>
      </c>
      <c r="B28" s="15" t="s">
        <v>26</v>
      </c>
      <c r="C28" s="15" t="s">
        <v>99</v>
      </c>
      <c r="D28" s="15" t="s">
        <v>175</v>
      </c>
    </row>
    <row r="29" spans="1:4" ht="14.45" x14ac:dyDescent="0.3">
      <c r="A29" t="str">
        <f t="shared" si="0"/>
        <v>PLUMBON GAMBANGGUDO</v>
      </c>
      <c r="B29" s="15" t="s">
        <v>26</v>
      </c>
      <c r="C29" s="15" t="s">
        <v>99</v>
      </c>
      <c r="D29" s="15" t="s">
        <v>176</v>
      </c>
    </row>
    <row r="30" spans="1:4" ht="14.45" x14ac:dyDescent="0.3">
      <c r="A30" t="str">
        <f t="shared" si="0"/>
        <v>METAOSGUDO</v>
      </c>
      <c r="B30" s="15" t="s">
        <v>26</v>
      </c>
      <c r="C30" s="15" t="s">
        <v>99</v>
      </c>
      <c r="D30" s="15" t="s">
        <v>177</v>
      </c>
    </row>
    <row r="31" spans="1:4" ht="14.45" x14ac:dyDescent="0.3">
      <c r="A31" t="str">
        <f t="shared" si="0"/>
        <v>MEJOYOLOSARIGUDO</v>
      </c>
      <c r="B31" s="15" t="s">
        <v>26</v>
      </c>
      <c r="C31" s="15" t="s">
        <v>99</v>
      </c>
      <c r="D31" s="15" t="s">
        <v>178</v>
      </c>
    </row>
    <row r="32" spans="1:4" ht="14.45" x14ac:dyDescent="0.3">
      <c r="A32" t="str">
        <f t="shared" si="0"/>
        <v>KEDUNGTURIGUDO</v>
      </c>
      <c r="B32" s="15" t="s">
        <v>26</v>
      </c>
      <c r="C32" s="15" t="s">
        <v>99</v>
      </c>
      <c r="D32" s="15" t="s">
        <v>179</v>
      </c>
    </row>
    <row r="33" spans="1:4" ht="14.45" x14ac:dyDescent="0.3">
      <c r="A33" t="str">
        <f t="shared" si="0"/>
        <v>JAPANANGUDO</v>
      </c>
      <c r="B33" s="15" t="s">
        <v>26</v>
      </c>
      <c r="C33" s="15" t="s">
        <v>99</v>
      </c>
      <c r="D33" s="15" t="s">
        <v>180</v>
      </c>
    </row>
    <row r="34" spans="1:4" ht="14.45" x14ac:dyDescent="0.3">
      <c r="A34" t="str">
        <f t="shared" si="0"/>
        <v>PUCANGROGUDO</v>
      </c>
      <c r="B34" s="15" t="s">
        <v>26</v>
      </c>
      <c r="C34" s="15" t="s">
        <v>99</v>
      </c>
      <c r="D34" s="15" t="s">
        <v>181</v>
      </c>
    </row>
    <row r="35" spans="1:4" ht="14.45" x14ac:dyDescent="0.3">
      <c r="A35" t="str">
        <f t="shared" si="0"/>
        <v>GODONGGUDO</v>
      </c>
      <c r="B35" s="15" t="s">
        <v>26</v>
      </c>
      <c r="C35" s="15" t="s">
        <v>99</v>
      </c>
      <c r="D35" s="15" t="s">
        <v>182</v>
      </c>
    </row>
    <row r="36" spans="1:4" ht="14.45" x14ac:dyDescent="0.3">
      <c r="A36" t="str">
        <f t="shared" si="0"/>
        <v>GEMPOLLEGUNDIGUDO</v>
      </c>
      <c r="B36" s="15" t="s">
        <v>26</v>
      </c>
      <c r="C36" s="15" t="s">
        <v>99</v>
      </c>
      <c r="D36" s="15" t="s">
        <v>183</v>
      </c>
    </row>
    <row r="37" spans="1:4" ht="14.45" x14ac:dyDescent="0.3">
      <c r="A37" t="str">
        <f t="shared" si="0"/>
        <v>BLIMBINGGUDO</v>
      </c>
      <c r="B37" s="15" t="s">
        <v>26</v>
      </c>
      <c r="C37" s="15" t="s">
        <v>99</v>
      </c>
      <c r="D37" s="15" t="s">
        <v>184</v>
      </c>
    </row>
    <row r="38" spans="1:4" ht="14.45" x14ac:dyDescent="0.3">
      <c r="A38" t="str">
        <f t="shared" si="0"/>
        <v>PUTONDIWEK</v>
      </c>
      <c r="B38" s="15" t="s">
        <v>100</v>
      </c>
      <c r="C38" s="15" t="s">
        <v>10</v>
      </c>
      <c r="D38" s="15" t="s">
        <v>136</v>
      </c>
    </row>
    <row r="39" spans="1:4" ht="14.45" x14ac:dyDescent="0.3">
      <c r="A39" t="str">
        <f t="shared" si="0"/>
        <v>BENDETDIWEK</v>
      </c>
      <c r="B39" s="15" t="s">
        <v>100</v>
      </c>
      <c r="C39" s="15" t="s">
        <v>10</v>
      </c>
      <c r="D39" s="15" t="s">
        <v>185</v>
      </c>
    </row>
    <row r="40" spans="1:4" ht="14.45" x14ac:dyDescent="0.3">
      <c r="A40" t="str">
        <f t="shared" si="0"/>
        <v>BULUREJODIWEK</v>
      </c>
      <c r="B40" s="15" t="s">
        <v>100</v>
      </c>
      <c r="C40" s="15" t="s">
        <v>10</v>
      </c>
      <c r="D40" s="15" t="s">
        <v>186</v>
      </c>
    </row>
    <row r="41" spans="1:4" ht="14.45" x14ac:dyDescent="0.3">
      <c r="A41" t="str">
        <f t="shared" si="0"/>
        <v>GROGOLDIWEK</v>
      </c>
      <c r="B41" s="15" t="s">
        <v>100</v>
      </c>
      <c r="C41" s="15" t="s">
        <v>10</v>
      </c>
      <c r="D41" s="15" t="s">
        <v>187</v>
      </c>
    </row>
    <row r="42" spans="1:4" ht="14.45" x14ac:dyDescent="0.3">
      <c r="A42" t="str">
        <f t="shared" si="0"/>
        <v>BANYUARANGNGORO</v>
      </c>
      <c r="B42" s="15" t="s">
        <v>100</v>
      </c>
      <c r="C42" s="15" t="s">
        <v>12</v>
      </c>
      <c r="D42" s="15" t="s">
        <v>137</v>
      </c>
    </row>
    <row r="43" spans="1:4" ht="14.45" x14ac:dyDescent="0.3">
      <c r="A43" t="str">
        <f t="shared" si="0"/>
        <v>SIDOWAREKNGORO</v>
      </c>
      <c r="B43" s="15" t="s">
        <v>100</v>
      </c>
      <c r="C43" s="15" t="s">
        <v>12</v>
      </c>
      <c r="D43" s="15" t="s">
        <v>188</v>
      </c>
    </row>
    <row r="44" spans="1:4" ht="14.45" x14ac:dyDescent="0.3">
      <c r="A44" t="str">
        <f t="shared" si="0"/>
        <v>GAJAHNGORO</v>
      </c>
      <c r="B44" s="15" t="s">
        <v>100</v>
      </c>
      <c r="C44" s="15" t="s">
        <v>12</v>
      </c>
      <c r="D44" s="15" t="s">
        <v>189</v>
      </c>
    </row>
    <row r="45" spans="1:4" ht="14.45" x14ac:dyDescent="0.3">
      <c r="A45" t="str">
        <f t="shared" si="0"/>
        <v>KESAMBENNGORO</v>
      </c>
      <c r="B45" s="15" t="s">
        <v>100</v>
      </c>
      <c r="C45" s="15" t="s">
        <v>12</v>
      </c>
      <c r="D45" s="15" t="s">
        <v>116</v>
      </c>
    </row>
    <row r="46" spans="1:4" ht="14.45" x14ac:dyDescent="0.3">
      <c r="A46" t="str">
        <f t="shared" si="0"/>
        <v>KERTOREJONGORO</v>
      </c>
      <c r="B46" s="15" t="s">
        <v>100</v>
      </c>
      <c r="C46" s="15" t="s">
        <v>12</v>
      </c>
      <c r="D46" s="15" t="s">
        <v>190</v>
      </c>
    </row>
    <row r="47" spans="1:4" ht="14.45" x14ac:dyDescent="0.3">
      <c r="A47" t="str">
        <f t="shared" si="0"/>
        <v>SUGIHWARASNGORO</v>
      </c>
      <c r="B47" s="15" t="s">
        <v>100</v>
      </c>
      <c r="C47" s="15" t="s">
        <v>12</v>
      </c>
      <c r="D47" s="15" t="s">
        <v>191</v>
      </c>
    </row>
    <row r="48" spans="1:4" ht="14.45" x14ac:dyDescent="0.3">
      <c r="A48" t="str">
        <f t="shared" si="0"/>
        <v>PUNDONGDIWEK</v>
      </c>
      <c r="B48" s="15" t="s">
        <v>47</v>
      </c>
      <c r="C48" s="15" t="s">
        <v>10</v>
      </c>
      <c r="D48" s="15" t="s">
        <v>138</v>
      </c>
    </row>
    <row r="49" spans="1:4" ht="14.45" x14ac:dyDescent="0.3">
      <c r="A49" t="str">
        <f t="shared" si="0"/>
        <v>BANDUNGDIWEK</v>
      </c>
      <c r="B49" s="15" t="s">
        <v>47</v>
      </c>
      <c r="C49" s="15" t="s">
        <v>10</v>
      </c>
      <c r="D49" s="15" t="s">
        <v>192</v>
      </c>
    </row>
    <row r="50" spans="1:4" ht="14.45" x14ac:dyDescent="0.3">
      <c r="A50" t="str">
        <f t="shared" si="0"/>
        <v>KEDAWONGDIWEK</v>
      </c>
      <c r="B50" s="15" t="s">
        <v>47</v>
      </c>
      <c r="C50" s="15" t="s">
        <v>10</v>
      </c>
      <c r="D50" s="15" t="s">
        <v>193</v>
      </c>
    </row>
    <row r="51" spans="1:4" ht="14.45" x14ac:dyDescent="0.3">
      <c r="A51" t="str">
        <f t="shared" si="0"/>
        <v>NGUDIREJODIWEK</v>
      </c>
      <c r="B51" s="15" t="s">
        <v>47</v>
      </c>
      <c r="C51" s="15" t="s">
        <v>10</v>
      </c>
      <c r="D51" s="15" t="s">
        <v>194</v>
      </c>
    </row>
    <row r="52" spans="1:4" ht="14.45" x14ac:dyDescent="0.3">
      <c r="A52" t="str">
        <f t="shared" si="0"/>
        <v>CEWENGDIWEK</v>
      </c>
      <c r="B52" s="15" t="s">
        <v>47</v>
      </c>
      <c r="C52" s="15" t="s">
        <v>10</v>
      </c>
      <c r="D52" s="15" t="s">
        <v>195</v>
      </c>
    </row>
    <row r="53" spans="1:4" ht="14.45" x14ac:dyDescent="0.3">
      <c r="A53" t="str">
        <f t="shared" si="0"/>
        <v>BALONGBESUKDIWEK</v>
      </c>
      <c r="B53" s="15" t="s">
        <v>47</v>
      </c>
      <c r="C53" s="15" t="s">
        <v>10</v>
      </c>
      <c r="D53" s="15" t="s">
        <v>196</v>
      </c>
    </row>
    <row r="54" spans="1:4" ht="14.45" x14ac:dyDescent="0.3">
      <c r="A54" t="str">
        <f t="shared" si="0"/>
        <v>TAMBAKREJOJOMBANG</v>
      </c>
      <c r="B54" s="15" t="s">
        <v>47</v>
      </c>
      <c r="C54" s="15" t="s">
        <v>101</v>
      </c>
      <c r="D54" s="15" t="s">
        <v>102</v>
      </c>
    </row>
    <row r="55" spans="1:4" ht="14.45" x14ac:dyDescent="0.3">
      <c r="A55" t="str">
        <f t="shared" si="0"/>
        <v>JATIREJODIWEK</v>
      </c>
      <c r="B55" s="15" t="s">
        <v>44</v>
      </c>
      <c r="C55" s="15" t="s">
        <v>10</v>
      </c>
      <c r="D55" s="15" t="s">
        <v>139</v>
      </c>
    </row>
    <row r="56" spans="1:4" ht="14.45" x14ac:dyDescent="0.3">
      <c r="A56" t="str">
        <f t="shared" si="0"/>
        <v>DIWEKDIWEK</v>
      </c>
      <c r="B56" s="15" t="s">
        <v>44</v>
      </c>
      <c r="C56" s="15" t="s">
        <v>10</v>
      </c>
      <c r="D56" s="15" t="s">
        <v>10</v>
      </c>
    </row>
    <row r="57" spans="1:4" ht="14.45" x14ac:dyDescent="0.3">
      <c r="A57" t="str">
        <f t="shared" si="0"/>
        <v>PANDANWANGIDIWEK</v>
      </c>
      <c r="B57" s="15" t="s">
        <v>44</v>
      </c>
      <c r="C57" s="15" t="s">
        <v>10</v>
      </c>
      <c r="D57" s="15" t="s">
        <v>311</v>
      </c>
    </row>
    <row r="58" spans="1:4" ht="14.45" x14ac:dyDescent="0.3">
      <c r="A58" t="str">
        <f t="shared" si="0"/>
        <v>BRAMBANGDIWEK</v>
      </c>
      <c r="B58" s="15" t="s">
        <v>44</v>
      </c>
      <c r="C58" s="15" t="s">
        <v>10</v>
      </c>
      <c r="D58" s="15" t="s">
        <v>197</v>
      </c>
    </row>
    <row r="59" spans="1:4" ht="14.45" x14ac:dyDescent="0.3">
      <c r="A59" t="str">
        <f t="shared" si="0"/>
        <v>KAYANGANDIWEK</v>
      </c>
      <c r="B59" s="15" t="s">
        <v>44</v>
      </c>
      <c r="C59" s="15" t="s">
        <v>10</v>
      </c>
      <c r="D59" s="15" t="s">
        <v>198</v>
      </c>
    </row>
    <row r="60" spans="1:4" ht="14.45" x14ac:dyDescent="0.3">
      <c r="A60" t="str">
        <f t="shared" si="0"/>
        <v>CUKIRDIWEK</v>
      </c>
      <c r="B60" s="15" t="s">
        <v>44</v>
      </c>
      <c r="C60" s="15" t="s">
        <v>10</v>
      </c>
      <c r="D60" s="15" t="s">
        <v>199</v>
      </c>
    </row>
    <row r="61" spans="1:4" ht="14.45" x14ac:dyDescent="0.3">
      <c r="A61" t="str">
        <f t="shared" si="0"/>
        <v>KERASDIWEK</v>
      </c>
      <c r="B61" s="15" t="s">
        <v>44</v>
      </c>
      <c r="C61" s="15" t="s">
        <v>10</v>
      </c>
      <c r="D61" s="15" t="s">
        <v>200</v>
      </c>
    </row>
    <row r="62" spans="1:4" ht="14.45" x14ac:dyDescent="0.3">
      <c r="A62" t="str">
        <f t="shared" si="0"/>
        <v>WATUGALUHDIWEK</v>
      </c>
      <c r="B62" s="15" t="s">
        <v>44</v>
      </c>
      <c r="C62" s="15" t="s">
        <v>10</v>
      </c>
      <c r="D62" s="15" t="s">
        <v>201</v>
      </c>
    </row>
    <row r="63" spans="1:4" ht="14.45" x14ac:dyDescent="0.3">
      <c r="A63" t="str">
        <f t="shared" si="0"/>
        <v>KENDALSARISUMOBITO</v>
      </c>
      <c r="B63" s="15" t="s">
        <v>44</v>
      </c>
      <c r="C63" s="15" t="s">
        <v>103</v>
      </c>
      <c r="D63" s="15" t="s">
        <v>140</v>
      </c>
    </row>
    <row r="64" spans="1:4" ht="14.45" x14ac:dyDescent="0.3">
      <c r="A64" t="str">
        <f t="shared" si="0"/>
        <v>MADIOPUROSUMOBITO</v>
      </c>
      <c r="B64" s="15" t="s">
        <v>44</v>
      </c>
      <c r="C64" s="15" t="s">
        <v>103</v>
      </c>
      <c r="D64" s="15" t="s">
        <v>202</v>
      </c>
    </row>
    <row r="65" spans="1:4" ht="14.45" x14ac:dyDescent="0.3">
      <c r="A65" t="str">
        <f t="shared" si="0"/>
        <v>KWARONDIWEK</v>
      </c>
      <c r="B65" s="15" t="s">
        <v>104</v>
      </c>
      <c r="C65" s="15" t="s">
        <v>10</v>
      </c>
      <c r="D65" s="15" t="s">
        <v>105</v>
      </c>
    </row>
    <row r="66" spans="1:4" ht="14.45" x14ac:dyDescent="0.3">
      <c r="A66" t="str">
        <f t="shared" si="0"/>
        <v>DENANYARJOMBANG</v>
      </c>
      <c r="B66" s="15" t="s">
        <v>104</v>
      </c>
      <c r="C66" s="15" t="s">
        <v>101</v>
      </c>
      <c r="D66" s="15" t="s">
        <v>141</v>
      </c>
    </row>
    <row r="67" spans="1:4" ht="14.45" x14ac:dyDescent="0.3">
      <c r="A67" t="str">
        <f t="shared" ref="A67:A130" si="1">D67&amp;C67</f>
        <v>CANDIMULYOJOMBANG</v>
      </c>
      <c r="B67" s="15" t="s">
        <v>104</v>
      </c>
      <c r="C67" s="15" t="s">
        <v>101</v>
      </c>
      <c r="D67" s="15" t="s">
        <v>203</v>
      </c>
    </row>
    <row r="68" spans="1:4" ht="14.45" x14ac:dyDescent="0.3">
      <c r="A68" t="str">
        <f t="shared" si="1"/>
        <v>JATIPELEMDIWEK</v>
      </c>
      <c r="B68" s="15" t="s">
        <v>55</v>
      </c>
      <c r="C68" s="15" t="s">
        <v>10</v>
      </c>
      <c r="D68" s="15" t="s">
        <v>106</v>
      </c>
    </row>
    <row r="69" spans="1:4" ht="14.45" x14ac:dyDescent="0.3">
      <c r="A69" t="str">
        <f t="shared" si="1"/>
        <v>SENGONJOMBANG</v>
      </c>
      <c r="B69" s="15" t="s">
        <v>55</v>
      </c>
      <c r="C69" s="15" t="s">
        <v>101</v>
      </c>
      <c r="D69" s="15" t="s">
        <v>142</v>
      </c>
    </row>
    <row r="70" spans="1:4" ht="14.45" x14ac:dyDescent="0.3">
      <c r="A70" t="str">
        <f t="shared" si="1"/>
        <v>TUNGGORONOJOMBANG</v>
      </c>
      <c r="B70" s="15" t="s">
        <v>55</v>
      </c>
      <c r="C70" s="15" t="s">
        <v>101</v>
      </c>
      <c r="D70" s="15" t="s">
        <v>204</v>
      </c>
    </row>
    <row r="71" spans="1:4" ht="14.45" x14ac:dyDescent="0.3">
      <c r="A71" t="str">
        <f t="shared" si="1"/>
        <v>JABONJOMBANG</v>
      </c>
      <c r="B71" s="15" t="s">
        <v>55</v>
      </c>
      <c r="C71" s="15" t="s">
        <v>101</v>
      </c>
      <c r="D71" s="15" t="s">
        <v>205</v>
      </c>
    </row>
    <row r="72" spans="1:4" ht="14.45" x14ac:dyDescent="0.3">
      <c r="A72" t="str">
        <f t="shared" si="1"/>
        <v>JOMBOKNGORO</v>
      </c>
      <c r="B72" s="15" t="s">
        <v>67</v>
      </c>
      <c r="C72" s="15" t="s">
        <v>12</v>
      </c>
      <c r="D72" s="15" t="s">
        <v>143</v>
      </c>
    </row>
    <row r="73" spans="1:4" ht="14.45" x14ac:dyDescent="0.3">
      <c r="A73" t="str">
        <f t="shared" si="1"/>
        <v>GENUKWATUNGORO</v>
      </c>
      <c r="B73" s="15" t="s">
        <v>67</v>
      </c>
      <c r="C73" s="15" t="s">
        <v>12</v>
      </c>
      <c r="D73" s="15" t="s">
        <v>206</v>
      </c>
    </row>
    <row r="74" spans="1:4" ht="14.45" x14ac:dyDescent="0.3">
      <c r="A74" t="str">
        <f t="shared" si="1"/>
        <v>REJOAGUNGNGORO</v>
      </c>
      <c r="B74" s="15" t="s">
        <v>67</v>
      </c>
      <c r="C74" s="15" t="s">
        <v>12</v>
      </c>
      <c r="D74" s="15" t="s">
        <v>207</v>
      </c>
    </row>
    <row r="75" spans="1:4" ht="14.45" x14ac:dyDescent="0.3">
      <c r="A75" t="str">
        <f t="shared" si="1"/>
        <v>KAUMANNGORO</v>
      </c>
      <c r="B75" s="15" t="s">
        <v>67</v>
      </c>
      <c r="C75" s="15" t="s">
        <v>12</v>
      </c>
      <c r="D75" s="15" t="s">
        <v>208</v>
      </c>
    </row>
    <row r="76" spans="1:4" ht="14.45" x14ac:dyDescent="0.3">
      <c r="A76" t="str">
        <f t="shared" si="1"/>
        <v>NGORONGORO</v>
      </c>
      <c r="B76" s="15" t="s">
        <v>67</v>
      </c>
      <c r="C76" s="15" t="s">
        <v>12</v>
      </c>
      <c r="D76" s="15" t="s">
        <v>12</v>
      </c>
    </row>
    <row r="77" spans="1:4" ht="14.45" x14ac:dyDescent="0.3">
      <c r="A77" t="str">
        <f t="shared" si="1"/>
        <v>BADANGNGORO</v>
      </c>
      <c r="B77" s="15" t="s">
        <v>67</v>
      </c>
      <c r="C77" s="15" t="s">
        <v>12</v>
      </c>
      <c r="D77" s="15" t="s">
        <v>209</v>
      </c>
    </row>
    <row r="78" spans="1:4" ht="14.45" x14ac:dyDescent="0.3">
      <c r="A78" t="str">
        <f t="shared" si="1"/>
        <v>PULOREJONGORO</v>
      </c>
      <c r="B78" s="15" t="s">
        <v>67</v>
      </c>
      <c r="C78" s="15" t="s">
        <v>12</v>
      </c>
      <c r="D78" s="15" t="s">
        <v>154</v>
      </c>
    </row>
    <row r="79" spans="1:4" ht="14.45" x14ac:dyDescent="0.3">
      <c r="A79" t="str">
        <f t="shared" si="1"/>
        <v>MOJOWARNOMOJOWARNO</v>
      </c>
      <c r="B79" s="15" t="s">
        <v>69</v>
      </c>
      <c r="C79" s="15" t="s">
        <v>0</v>
      </c>
      <c r="D79" s="15" t="s">
        <v>0</v>
      </c>
    </row>
    <row r="80" spans="1:4" ht="14.45" x14ac:dyDescent="0.3">
      <c r="A80" t="str">
        <f t="shared" si="1"/>
        <v>MOJOWANGMOJOWARNO</v>
      </c>
      <c r="B80" s="15" t="s">
        <v>69</v>
      </c>
      <c r="C80" s="15" t="s">
        <v>0</v>
      </c>
      <c r="D80" s="15" t="s">
        <v>210</v>
      </c>
    </row>
    <row r="81" spans="1:4" ht="14.45" x14ac:dyDescent="0.3">
      <c r="A81" t="str">
        <f t="shared" si="1"/>
        <v>I GEDANGANMOJOWARNO</v>
      </c>
      <c r="B81" s="15" t="s">
        <v>69</v>
      </c>
      <c r="C81" s="15" t="s">
        <v>0</v>
      </c>
      <c r="D81" s="15" t="s">
        <v>144</v>
      </c>
    </row>
    <row r="82" spans="1:4" ht="14.45" x14ac:dyDescent="0.3">
      <c r="A82" t="str">
        <f t="shared" si="1"/>
        <v>MOJOJEJERMOJOWARNO</v>
      </c>
      <c r="B82" s="15" t="s">
        <v>69</v>
      </c>
      <c r="C82" s="15" t="s">
        <v>0</v>
      </c>
      <c r="D82" s="15" t="s">
        <v>211</v>
      </c>
    </row>
    <row r="83" spans="1:4" ht="14.45" x14ac:dyDescent="0.3">
      <c r="A83" t="str">
        <f t="shared" si="1"/>
        <v>SELOREJOMOJOWARNO</v>
      </c>
      <c r="B83" s="15" t="s">
        <v>69</v>
      </c>
      <c r="C83" s="15" t="s">
        <v>0</v>
      </c>
      <c r="D83" s="15" t="s">
        <v>212</v>
      </c>
    </row>
    <row r="84" spans="1:4" ht="14.45" x14ac:dyDescent="0.3">
      <c r="A84" t="str">
        <f t="shared" si="1"/>
        <v>MENGANTOMOJOWARNO</v>
      </c>
      <c r="B84" s="15" t="s">
        <v>69</v>
      </c>
      <c r="C84" s="15" t="s">
        <v>0</v>
      </c>
      <c r="D84" s="15" t="s">
        <v>213</v>
      </c>
    </row>
    <row r="85" spans="1:4" ht="14.45" x14ac:dyDescent="0.3">
      <c r="A85" t="str">
        <f t="shared" si="1"/>
        <v>SIDOKERTOMOJOWARNO</v>
      </c>
      <c r="B85" s="15" t="s">
        <v>69</v>
      </c>
      <c r="C85" s="15" t="s">
        <v>0</v>
      </c>
      <c r="D85" s="15" t="s">
        <v>214</v>
      </c>
    </row>
    <row r="86" spans="1:4" ht="14.45" x14ac:dyDescent="0.3">
      <c r="A86" t="str">
        <f t="shared" si="1"/>
        <v>CATAKGAYAMMOJOWARNO</v>
      </c>
      <c r="B86" s="15" t="s">
        <v>69</v>
      </c>
      <c r="C86" s="15" t="s">
        <v>0</v>
      </c>
      <c r="D86" s="15" t="s">
        <v>215</v>
      </c>
    </row>
    <row r="87" spans="1:4" ht="14.45" x14ac:dyDescent="0.3">
      <c r="A87" t="str">
        <f t="shared" si="1"/>
        <v>WRINGINPITUMOJOWARNO</v>
      </c>
      <c r="B87" s="15" t="s">
        <v>69</v>
      </c>
      <c r="C87" s="15" t="s">
        <v>0</v>
      </c>
      <c r="D87" s="15" t="s">
        <v>216</v>
      </c>
    </row>
    <row r="88" spans="1:4" ht="14.45" x14ac:dyDescent="0.3">
      <c r="A88" t="str">
        <f t="shared" si="1"/>
        <v>BAKALANRAYUNGKUDU</v>
      </c>
      <c r="B88" s="15" t="s">
        <v>107</v>
      </c>
      <c r="C88" s="15" t="s">
        <v>108</v>
      </c>
      <c r="D88" s="15" t="s">
        <v>312</v>
      </c>
    </row>
    <row r="89" spans="1:4" ht="14.45" x14ac:dyDescent="0.3">
      <c r="A89" t="str">
        <f t="shared" si="1"/>
        <v>BENDUNGANKUDU</v>
      </c>
      <c r="B89" s="15" t="s">
        <v>107</v>
      </c>
      <c r="C89" s="15" t="s">
        <v>108</v>
      </c>
      <c r="D89" s="15" t="s">
        <v>324</v>
      </c>
    </row>
    <row r="90" spans="1:4" ht="14.45" x14ac:dyDescent="0.3">
      <c r="A90" t="str">
        <f t="shared" si="1"/>
        <v>KATEMASKUDU</v>
      </c>
      <c r="B90" s="15" t="s">
        <v>107</v>
      </c>
      <c r="C90" s="15" t="s">
        <v>108</v>
      </c>
      <c r="D90" s="15" t="s">
        <v>325</v>
      </c>
    </row>
    <row r="91" spans="1:4" ht="14.45" x14ac:dyDescent="0.3">
      <c r="A91" t="str">
        <f t="shared" si="1"/>
        <v>KEPUHREJOKUDU</v>
      </c>
      <c r="B91" s="15" t="s">
        <v>107</v>
      </c>
      <c r="C91" s="15" t="s">
        <v>108</v>
      </c>
      <c r="D91" s="15" t="s">
        <v>326</v>
      </c>
    </row>
    <row r="92" spans="1:4" ht="14.45" x14ac:dyDescent="0.3">
      <c r="A92" t="str">
        <f t="shared" si="1"/>
        <v>KUDUBANJARKUDU</v>
      </c>
      <c r="B92" s="15" t="s">
        <v>107</v>
      </c>
      <c r="C92" s="15" t="s">
        <v>108</v>
      </c>
      <c r="D92" s="15" t="s">
        <v>327</v>
      </c>
    </row>
    <row r="93" spans="1:4" ht="14.45" x14ac:dyDescent="0.3">
      <c r="A93" t="str">
        <f t="shared" si="1"/>
        <v>MADEKUDU</v>
      </c>
      <c r="B93" s="15" t="s">
        <v>107</v>
      </c>
      <c r="C93" s="15" t="s">
        <v>108</v>
      </c>
      <c r="D93" s="15" t="s">
        <v>328</v>
      </c>
    </row>
    <row r="94" spans="1:4" ht="14.45" x14ac:dyDescent="0.3">
      <c r="A94" t="str">
        <f t="shared" si="1"/>
        <v>MENTURUSKUDU</v>
      </c>
      <c r="B94" s="15" t="s">
        <v>107</v>
      </c>
      <c r="C94" s="15" t="s">
        <v>108</v>
      </c>
      <c r="D94" s="15" t="s">
        <v>329</v>
      </c>
    </row>
    <row r="95" spans="1:4" ht="14.45" x14ac:dyDescent="0.3">
      <c r="A95" t="str">
        <f t="shared" si="1"/>
        <v>RANDUWATANGKUDU</v>
      </c>
      <c r="B95" s="15" t="s">
        <v>107</v>
      </c>
      <c r="C95" s="15" t="s">
        <v>108</v>
      </c>
      <c r="D95" s="15" t="s">
        <v>330</v>
      </c>
    </row>
    <row r="96" spans="1:4" ht="14.45" x14ac:dyDescent="0.3">
      <c r="A96" t="str">
        <f t="shared" si="1"/>
        <v>SIDOKATONKUDU</v>
      </c>
      <c r="B96" s="15" t="s">
        <v>107</v>
      </c>
      <c r="C96" s="15" t="s">
        <v>108</v>
      </c>
      <c r="D96" s="15" t="s">
        <v>331</v>
      </c>
    </row>
    <row r="97" spans="1:4" ht="14.45" x14ac:dyDescent="0.3">
      <c r="A97" t="str">
        <f t="shared" si="1"/>
        <v>SUMBERTEGUHKUDU</v>
      </c>
      <c r="B97" s="15" t="s">
        <v>107</v>
      </c>
      <c r="C97" s="15" t="s">
        <v>108</v>
      </c>
      <c r="D97" s="15" t="s">
        <v>332</v>
      </c>
    </row>
    <row r="98" spans="1:4" ht="14.45" x14ac:dyDescent="0.3">
      <c r="A98" t="str">
        <f t="shared" si="1"/>
        <v>DAN TAPENKUDU</v>
      </c>
      <c r="B98" s="15" t="s">
        <v>107</v>
      </c>
      <c r="C98" s="15" t="s">
        <v>108</v>
      </c>
      <c r="D98" s="15" t="s">
        <v>333</v>
      </c>
    </row>
    <row r="99" spans="1:4" ht="14.45" x14ac:dyDescent="0.3">
      <c r="A99" t="str">
        <f t="shared" si="1"/>
        <v>DUKUHMOJOMOJOAGUNG</v>
      </c>
      <c r="B99" s="15" t="s">
        <v>64</v>
      </c>
      <c r="C99" s="15" t="s">
        <v>109</v>
      </c>
      <c r="D99" s="15" t="s">
        <v>145</v>
      </c>
    </row>
    <row r="100" spans="1:4" ht="14.45" x14ac:dyDescent="0.3">
      <c r="A100" t="str">
        <f t="shared" si="1"/>
        <v>KARANGWINONGANMOJOAGUNG</v>
      </c>
      <c r="B100" s="15" t="s">
        <v>64</v>
      </c>
      <c r="C100" s="15" t="s">
        <v>109</v>
      </c>
      <c r="D100" s="15" t="s">
        <v>217</v>
      </c>
    </row>
    <row r="101" spans="1:4" ht="14.45" x14ac:dyDescent="0.3">
      <c r="A101" t="str">
        <f t="shared" si="1"/>
        <v>KADEMANGANMOJOAGUNG</v>
      </c>
      <c r="B101" s="15" t="s">
        <v>64</v>
      </c>
      <c r="C101" s="15" t="s">
        <v>109</v>
      </c>
      <c r="D101" s="15" t="s">
        <v>218</v>
      </c>
    </row>
    <row r="102" spans="1:4" ht="14.45" x14ac:dyDescent="0.3">
      <c r="A102" t="str">
        <f t="shared" si="1"/>
        <v>JANTIMOJOAGUNG</v>
      </c>
      <c r="B102" s="15" t="s">
        <v>64</v>
      </c>
      <c r="C102" s="15" t="s">
        <v>109</v>
      </c>
      <c r="D102" s="15" t="s">
        <v>219</v>
      </c>
    </row>
    <row r="103" spans="1:4" ht="14.45" x14ac:dyDescent="0.3">
      <c r="A103" t="str">
        <f t="shared" si="1"/>
        <v>TEJOMOJOAGUNG</v>
      </c>
      <c r="B103" s="15" t="s">
        <v>64</v>
      </c>
      <c r="C103" s="15" t="s">
        <v>109</v>
      </c>
      <c r="D103" s="15" t="s">
        <v>220</v>
      </c>
    </row>
    <row r="104" spans="1:4" ht="14.45" x14ac:dyDescent="0.3">
      <c r="A104" t="str">
        <f t="shared" si="1"/>
        <v>GAMBIRANMOJOAGUNG</v>
      </c>
      <c r="B104" s="15" t="s">
        <v>64</v>
      </c>
      <c r="C104" s="15" t="s">
        <v>109</v>
      </c>
      <c r="D104" s="15" t="s">
        <v>221</v>
      </c>
    </row>
    <row r="105" spans="1:4" ht="14.45" x14ac:dyDescent="0.3">
      <c r="A105" t="str">
        <f t="shared" si="1"/>
        <v>MOJOTRISNOMOJOAGUNG</v>
      </c>
      <c r="B105" s="15" t="s">
        <v>64</v>
      </c>
      <c r="C105" s="15" t="s">
        <v>109</v>
      </c>
      <c r="D105" s="15" t="s">
        <v>222</v>
      </c>
    </row>
    <row r="106" spans="1:4" x14ac:dyDescent="0.25">
      <c r="A106" t="str">
        <f t="shared" si="1"/>
        <v>ALANG – ALANGJOGOROTO</v>
      </c>
      <c r="B106" s="15" t="s">
        <v>64</v>
      </c>
      <c r="C106" s="15" t="s">
        <v>110</v>
      </c>
      <c r="D106" s="15" t="s">
        <v>146</v>
      </c>
    </row>
    <row r="107" spans="1:4" ht="14.45" x14ac:dyDescent="0.3">
      <c r="A107" t="str">
        <f t="shared" si="1"/>
        <v>CARUBANJOGOROTO</v>
      </c>
      <c r="B107" s="15" t="s">
        <v>64</v>
      </c>
      <c r="C107" s="15" t="s">
        <v>110</v>
      </c>
      <c r="D107" s="15" t="s">
        <v>223</v>
      </c>
    </row>
    <row r="108" spans="1:4" ht="14.45" x14ac:dyDescent="0.3">
      <c r="A108" t="str">
        <f t="shared" si="1"/>
        <v>SUKOSARIJOGOROTO</v>
      </c>
      <c r="B108" s="15" t="s">
        <v>64</v>
      </c>
      <c r="C108" s="15" t="s">
        <v>110</v>
      </c>
      <c r="D108" s="15" t="s">
        <v>224</v>
      </c>
    </row>
    <row r="109" spans="1:4" ht="14.45" x14ac:dyDescent="0.3">
      <c r="A109" t="str">
        <f t="shared" si="1"/>
        <v>SAMBIREJOJOGOROTO</v>
      </c>
      <c r="B109" s="15" t="s">
        <v>64</v>
      </c>
      <c r="C109" s="15" t="s">
        <v>110</v>
      </c>
      <c r="D109" s="15" t="s">
        <v>225</v>
      </c>
    </row>
    <row r="110" spans="1:4" ht="14.45" x14ac:dyDescent="0.3">
      <c r="A110" t="str">
        <f t="shared" si="1"/>
        <v>KEDUNGLUMPANGMOJOAGUNG</v>
      </c>
      <c r="B110" s="15" t="s">
        <v>29</v>
      </c>
      <c r="C110" s="15" t="s">
        <v>109</v>
      </c>
      <c r="D110" s="15" t="s">
        <v>147</v>
      </c>
    </row>
    <row r="111" spans="1:4" ht="14.45" x14ac:dyDescent="0.3">
      <c r="A111" t="str">
        <f t="shared" si="1"/>
        <v>KAUMANMOJOAGUNG</v>
      </c>
      <c r="B111" s="15" t="s">
        <v>29</v>
      </c>
      <c r="C111" s="15" t="s">
        <v>109</v>
      </c>
      <c r="D111" s="15" t="s">
        <v>208</v>
      </c>
    </row>
    <row r="112" spans="1:4" ht="14.45" x14ac:dyDescent="0.3">
      <c r="A112" t="str">
        <f t="shared" si="1"/>
        <v>TANGGALREJOMOJOAGUNG</v>
      </c>
      <c r="B112" s="15" t="s">
        <v>29</v>
      </c>
      <c r="C112" s="15" t="s">
        <v>109</v>
      </c>
      <c r="D112" s="15" t="s">
        <v>226</v>
      </c>
    </row>
    <row r="113" spans="1:4" ht="14.45" x14ac:dyDescent="0.3">
      <c r="A113" t="str">
        <f t="shared" si="1"/>
        <v>DUKUHDIMOROMOJOAGUNG</v>
      </c>
      <c r="B113" s="15" t="s">
        <v>29</v>
      </c>
      <c r="C113" s="15" t="s">
        <v>109</v>
      </c>
      <c r="D113" s="15" t="s">
        <v>227</v>
      </c>
    </row>
    <row r="114" spans="1:4" ht="14.45" x14ac:dyDescent="0.3">
      <c r="A114" t="str">
        <f t="shared" si="1"/>
        <v>MIAGANMOJOAGUNG</v>
      </c>
      <c r="B114" s="15" t="s">
        <v>29</v>
      </c>
      <c r="C114" s="15" t="s">
        <v>109</v>
      </c>
      <c r="D114" s="15" t="s">
        <v>228</v>
      </c>
    </row>
    <row r="115" spans="1:4" ht="14.45" x14ac:dyDescent="0.3">
      <c r="A115" t="str">
        <f t="shared" si="1"/>
        <v>MANCILANMOJOAGUNG</v>
      </c>
      <c r="B115" s="15" t="s">
        <v>29</v>
      </c>
      <c r="C115" s="15" t="s">
        <v>109</v>
      </c>
      <c r="D115" s="15" t="s">
        <v>229</v>
      </c>
    </row>
    <row r="116" spans="1:4" ht="14.45" x14ac:dyDescent="0.3">
      <c r="A116" t="str">
        <f t="shared" si="1"/>
        <v>BETEKMOJOAGUNG</v>
      </c>
      <c r="B116" s="15" t="s">
        <v>29</v>
      </c>
      <c r="C116" s="15" t="s">
        <v>109</v>
      </c>
      <c r="D116" s="15" t="s">
        <v>230</v>
      </c>
    </row>
    <row r="117" spans="1:4" ht="14.45" x14ac:dyDescent="0.3">
      <c r="A117" t="str">
        <f t="shared" si="1"/>
        <v>KAROBELAHMOJOAGUNG</v>
      </c>
      <c r="B117" s="15" t="s">
        <v>29</v>
      </c>
      <c r="C117" s="15" t="s">
        <v>109</v>
      </c>
      <c r="D117" s="15" t="s">
        <v>231</v>
      </c>
    </row>
    <row r="118" spans="1:4" ht="14.45" x14ac:dyDescent="0.3">
      <c r="A118" t="str">
        <f t="shared" si="1"/>
        <v>MURUKANMOJOAGUNG</v>
      </c>
      <c r="B118" s="15" t="s">
        <v>29</v>
      </c>
      <c r="C118" s="15" t="s">
        <v>109</v>
      </c>
      <c r="D118" s="15" t="s">
        <v>232</v>
      </c>
    </row>
    <row r="119" spans="1:4" ht="14.45" x14ac:dyDescent="0.3">
      <c r="A119" t="str">
        <f t="shared" si="1"/>
        <v>JOHOWINONGMOJOAGUNG</v>
      </c>
      <c r="B119" s="15" t="s">
        <v>29</v>
      </c>
      <c r="C119" s="15" t="s">
        <v>109</v>
      </c>
      <c r="D119" s="15" t="s">
        <v>233</v>
      </c>
    </row>
    <row r="120" spans="1:4" ht="14.45" x14ac:dyDescent="0.3">
      <c r="A120" t="str">
        <f t="shared" si="1"/>
        <v>SEKETIMOJOAGUNG</v>
      </c>
      <c r="B120" s="15" t="s">
        <v>29</v>
      </c>
      <c r="C120" s="15" t="s">
        <v>109</v>
      </c>
      <c r="D120" s="15" t="s">
        <v>234</v>
      </c>
    </row>
    <row r="121" spans="1:4" ht="14.45" x14ac:dyDescent="0.3">
      <c r="A121" t="str">
        <f t="shared" si="1"/>
        <v>PLOSOKEREPSUMOBITO</v>
      </c>
      <c r="B121" s="15" t="s">
        <v>89</v>
      </c>
      <c r="C121" s="15" t="s">
        <v>103</v>
      </c>
      <c r="D121" s="15" t="s">
        <v>148</v>
      </c>
    </row>
    <row r="122" spans="1:4" ht="14.45" x14ac:dyDescent="0.3">
      <c r="A122" t="str">
        <f t="shared" si="1"/>
        <v>JOGOLOYOSUMOBITO</v>
      </c>
      <c r="B122" s="15" t="s">
        <v>89</v>
      </c>
      <c r="C122" s="15" t="s">
        <v>103</v>
      </c>
      <c r="D122" s="15" t="s">
        <v>235</v>
      </c>
    </row>
    <row r="123" spans="1:4" ht="14.45" x14ac:dyDescent="0.3">
      <c r="A123" t="str">
        <f t="shared" si="1"/>
        <v>PALREJOSUMOBITO</v>
      </c>
      <c r="B123" s="15" t="s">
        <v>89</v>
      </c>
      <c r="C123" s="15" t="s">
        <v>103</v>
      </c>
      <c r="D123" s="15" t="s">
        <v>236</v>
      </c>
    </row>
    <row r="124" spans="1:4" ht="14.45" x14ac:dyDescent="0.3">
      <c r="A124" t="str">
        <f t="shared" si="1"/>
        <v>PLEMAHANSUMOBITO</v>
      </c>
      <c r="B124" s="15" t="s">
        <v>89</v>
      </c>
      <c r="C124" s="15" t="s">
        <v>103</v>
      </c>
      <c r="D124" s="15" t="s">
        <v>237</v>
      </c>
    </row>
    <row r="125" spans="1:4" ht="14.45" x14ac:dyDescent="0.3">
      <c r="A125" t="str">
        <f t="shared" si="1"/>
        <v>BRUDUSUMOBITO</v>
      </c>
      <c r="B125" s="15" t="s">
        <v>89</v>
      </c>
      <c r="C125" s="15" t="s">
        <v>103</v>
      </c>
      <c r="D125" s="15" t="s">
        <v>238</v>
      </c>
    </row>
    <row r="126" spans="1:4" ht="14.45" x14ac:dyDescent="0.3">
      <c r="A126" t="str">
        <f t="shared" si="1"/>
        <v>BADASSUMOBITO</v>
      </c>
      <c r="B126" s="15" t="s">
        <v>89</v>
      </c>
      <c r="C126" s="15" t="s">
        <v>103</v>
      </c>
      <c r="D126" s="15" t="s">
        <v>239</v>
      </c>
    </row>
    <row r="127" spans="1:4" ht="14.45" x14ac:dyDescent="0.3">
      <c r="A127" t="str">
        <f t="shared" si="1"/>
        <v>TRAWASANSUMOBITO</v>
      </c>
      <c r="B127" s="15" t="s">
        <v>89</v>
      </c>
      <c r="C127" s="15" t="s">
        <v>103</v>
      </c>
      <c r="D127" s="15" t="s">
        <v>240</v>
      </c>
    </row>
    <row r="128" spans="1:4" ht="14.45" x14ac:dyDescent="0.3">
      <c r="A128" t="str">
        <f t="shared" si="1"/>
        <v>MLARASSUMOBITO</v>
      </c>
      <c r="B128" s="15" t="s">
        <v>89</v>
      </c>
      <c r="C128" s="15" t="s">
        <v>103</v>
      </c>
      <c r="D128" s="15" t="s">
        <v>241</v>
      </c>
    </row>
    <row r="129" spans="1:4" ht="14.45" x14ac:dyDescent="0.3">
      <c r="A129" t="str">
        <f t="shared" si="1"/>
        <v>SEGODOREJOSUMOBITO</v>
      </c>
      <c r="B129" s="15" t="s">
        <v>89</v>
      </c>
      <c r="C129" s="15" t="s">
        <v>103</v>
      </c>
      <c r="D129" s="15" t="s">
        <v>242</v>
      </c>
    </row>
    <row r="130" spans="1:4" ht="14.45" x14ac:dyDescent="0.3">
      <c r="A130" t="str">
        <f t="shared" si="1"/>
        <v>KEDUNGPAPARSUMOBITO</v>
      </c>
      <c r="B130" s="15" t="s">
        <v>89</v>
      </c>
      <c r="C130" s="15" t="s">
        <v>103</v>
      </c>
      <c r="D130" s="15" t="s">
        <v>243</v>
      </c>
    </row>
    <row r="131" spans="1:4" ht="14.45" x14ac:dyDescent="0.3">
      <c r="A131" t="str">
        <f t="shared" ref="A131:A194" si="2">D131&amp;C131</f>
        <v>SUMOBITOSUMOBITO</v>
      </c>
      <c r="B131" s="15" t="s">
        <v>89</v>
      </c>
      <c r="C131" s="15" t="s">
        <v>103</v>
      </c>
      <c r="D131" s="15" t="s">
        <v>103</v>
      </c>
    </row>
    <row r="132" spans="1:4" ht="14.45" x14ac:dyDescent="0.3">
      <c r="A132" t="str">
        <f t="shared" si="2"/>
        <v>CURAHMALANGSUMOBITO</v>
      </c>
      <c r="B132" s="15" t="s">
        <v>89</v>
      </c>
      <c r="C132" s="15" t="s">
        <v>103</v>
      </c>
      <c r="D132" s="15" t="s">
        <v>244</v>
      </c>
    </row>
    <row r="133" spans="1:4" ht="14.45" x14ac:dyDescent="0.3">
      <c r="A133" t="str">
        <f t="shared" si="2"/>
        <v>BAKALANSUMOBITO</v>
      </c>
      <c r="B133" s="15" t="s">
        <v>89</v>
      </c>
      <c r="C133" s="15" t="s">
        <v>103</v>
      </c>
      <c r="D133" s="15" t="s">
        <v>14</v>
      </c>
    </row>
    <row r="134" spans="1:4" ht="14.45" x14ac:dyDescent="0.3">
      <c r="A134" t="str">
        <f t="shared" si="2"/>
        <v>GEDANGANSUMOBITO</v>
      </c>
      <c r="B134" s="15" t="s">
        <v>89</v>
      </c>
      <c r="C134" s="15" t="s">
        <v>103</v>
      </c>
      <c r="D134" s="15" t="s">
        <v>245</v>
      </c>
    </row>
    <row r="135" spans="1:4" ht="14.45" x14ac:dyDescent="0.3">
      <c r="A135" t="str">
        <f t="shared" si="2"/>
        <v>JOGOROTOJOGOROTO</v>
      </c>
      <c r="B135" s="15" t="s">
        <v>111</v>
      </c>
      <c r="C135" s="15" t="s">
        <v>110</v>
      </c>
      <c r="D135" s="15" t="s">
        <v>110</v>
      </c>
    </row>
    <row r="136" spans="1:4" ht="14.45" x14ac:dyDescent="0.3">
      <c r="A136" t="str">
        <f t="shared" si="2"/>
        <v>JARAKKULONJOGOROTO</v>
      </c>
      <c r="B136" s="15" t="s">
        <v>111</v>
      </c>
      <c r="C136" s="15" t="s">
        <v>110</v>
      </c>
      <c r="D136" s="15" t="s">
        <v>246</v>
      </c>
    </row>
    <row r="137" spans="1:4" ht="14.45" x14ac:dyDescent="0.3">
      <c r="A137" t="str">
        <f t="shared" si="2"/>
        <v>SAWIJIJOGOROTO</v>
      </c>
      <c r="B137" s="15" t="s">
        <v>111</v>
      </c>
      <c r="C137" s="15" t="s">
        <v>110</v>
      </c>
      <c r="D137" s="15" t="s">
        <v>247</v>
      </c>
    </row>
    <row r="138" spans="1:4" ht="14.45" x14ac:dyDescent="0.3">
      <c r="A138" t="str">
        <f t="shared" si="2"/>
        <v>MAYANGANJOGOROTO</v>
      </c>
      <c r="B138" s="15" t="s">
        <v>111</v>
      </c>
      <c r="C138" s="15" t="s">
        <v>110</v>
      </c>
      <c r="D138" s="15" t="s">
        <v>149</v>
      </c>
    </row>
    <row r="139" spans="1:4" ht="14.45" x14ac:dyDescent="0.3">
      <c r="A139" t="str">
        <f t="shared" si="2"/>
        <v>SUMBERMULYOJOGOROTO</v>
      </c>
      <c r="B139" s="15" t="s">
        <v>111</v>
      </c>
      <c r="C139" s="15" t="s">
        <v>110</v>
      </c>
      <c r="D139" s="15" t="s">
        <v>248</v>
      </c>
    </row>
    <row r="140" spans="1:4" ht="14.45" x14ac:dyDescent="0.3">
      <c r="A140" t="str">
        <f t="shared" si="2"/>
        <v>NGUMPULJOGOROTO</v>
      </c>
      <c r="B140" s="15" t="s">
        <v>111</v>
      </c>
      <c r="C140" s="15" t="s">
        <v>110</v>
      </c>
      <c r="D140" s="15" t="s">
        <v>249</v>
      </c>
    </row>
    <row r="141" spans="1:4" ht="14.45" x14ac:dyDescent="0.3">
      <c r="A141" t="str">
        <f t="shared" si="2"/>
        <v>TAMBARJOGOROTO</v>
      </c>
      <c r="B141" s="15" t="s">
        <v>111</v>
      </c>
      <c r="C141" s="15" t="s">
        <v>110</v>
      </c>
      <c r="D141" s="15" t="s">
        <v>250</v>
      </c>
    </row>
    <row r="142" spans="1:4" ht="14.45" x14ac:dyDescent="0.3">
      <c r="A142" t="str">
        <f t="shared" si="2"/>
        <v>JANTIJOGOROTO</v>
      </c>
      <c r="B142" s="15" t="s">
        <v>111</v>
      </c>
      <c r="C142" s="15" t="s">
        <v>110</v>
      </c>
      <c r="D142" s="15" t="s">
        <v>219</v>
      </c>
    </row>
    <row r="143" spans="1:4" ht="14.45" x14ac:dyDescent="0.3">
      <c r="A143" t="str">
        <f t="shared" si="2"/>
        <v>PETERONGANPETERONGAN</v>
      </c>
      <c r="B143" s="15" t="s">
        <v>50</v>
      </c>
      <c r="C143" s="15" t="s">
        <v>112</v>
      </c>
      <c r="D143" s="15" t="s">
        <v>112</v>
      </c>
    </row>
    <row r="144" spans="1:4" ht="14.45" x14ac:dyDescent="0.3">
      <c r="A144" t="str">
        <f t="shared" si="2"/>
        <v>KEPUHKEMBENGPETERONGAN</v>
      </c>
      <c r="B144" s="15" t="s">
        <v>50</v>
      </c>
      <c r="C144" s="15" t="s">
        <v>112</v>
      </c>
      <c r="D144" s="15" t="s">
        <v>251</v>
      </c>
    </row>
    <row r="145" spans="1:4" ht="14.45" x14ac:dyDescent="0.3">
      <c r="A145" t="str">
        <f t="shared" si="2"/>
        <v>MOROSUNGGINGANPETERONGAN</v>
      </c>
      <c r="B145" s="15" t="s">
        <v>50</v>
      </c>
      <c r="C145" s="15" t="s">
        <v>112</v>
      </c>
      <c r="D145" s="15" t="s">
        <v>252</v>
      </c>
    </row>
    <row r="146" spans="1:4" ht="14.45" x14ac:dyDescent="0.3">
      <c r="A146" t="str">
        <f t="shared" si="2"/>
        <v>DUKUH KLOPOPETERONGAN</v>
      </c>
      <c r="B146" s="15" t="s">
        <v>50</v>
      </c>
      <c r="C146" s="15" t="s">
        <v>112</v>
      </c>
      <c r="D146" s="15" t="s">
        <v>253</v>
      </c>
    </row>
    <row r="147" spans="1:4" ht="14.45" x14ac:dyDescent="0.3">
      <c r="A147" t="str">
        <f t="shared" si="2"/>
        <v>BONGKOTPETERONGAN</v>
      </c>
      <c r="B147" s="15" t="s">
        <v>50</v>
      </c>
      <c r="C147" s="15" t="s">
        <v>112</v>
      </c>
      <c r="D147" s="15" t="s">
        <v>254</v>
      </c>
    </row>
    <row r="148" spans="1:4" ht="14.45" x14ac:dyDescent="0.3">
      <c r="A148" t="str">
        <f t="shared" si="2"/>
        <v>SENDENPETERONGAN</v>
      </c>
      <c r="B148" s="15" t="s">
        <v>50</v>
      </c>
      <c r="C148" s="15" t="s">
        <v>112</v>
      </c>
      <c r="D148" s="15" t="s">
        <v>255</v>
      </c>
    </row>
    <row r="149" spans="1:4" ht="14.45" x14ac:dyDescent="0.3">
      <c r="A149" t="str">
        <f t="shared" si="2"/>
        <v>NGRANDULORPETERONGAN</v>
      </c>
      <c r="B149" s="15" t="s">
        <v>50</v>
      </c>
      <c r="C149" s="15" t="s">
        <v>112</v>
      </c>
      <c r="D149" s="15" t="s">
        <v>256</v>
      </c>
    </row>
    <row r="150" spans="1:4" ht="14.45" x14ac:dyDescent="0.3">
      <c r="A150" t="str">
        <f t="shared" si="2"/>
        <v>TENGARANPETERONGAN</v>
      </c>
      <c r="B150" s="15" t="s">
        <v>50</v>
      </c>
      <c r="C150" s="15" t="s">
        <v>112</v>
      </c>
      <c r="D150" s="15" t="s">
        <v>257</v>
      </c>
    </row>
    <row r="151" spans="1:4" ht="14.45" x14ac:dyDescent="0.3">
      <c r="A151" t="str">
        <f t="shared" si="2"/>
        <v>SUMBERAGUNGPETERONGAN</v>
      </c>
      <c r="B151" s="15" t="s">
        <v>50</v>
      </c>
      <c r="C151" s="15" t="s">
        <v>112</v>
      </c>
      <c r="D151" s="15" t="s">
        <v>258</v>
      </c>
    </row>
    <row r="152" spans="1:4" ht="14.45" x14ac:dyDescent="0.3">
      <c r="A152" t="str">
        <f t="shared" si="2"/>
        <v>PLANDIJOMBANG</v>
      </c>
      <c r="B152" s="15" t="s">
        <v>58</v>
      </c>
      <c r="C152" s="15" t="s">
        <v>101</v>
      </c>
      <c r="D152" s="15" t="s">
        <v>150</v>
      </c>
    </row>
    <row r="153" spans="1:4" ht="14.45" x14ac:dyDescent="0.3">
      <c r="A153" t="str">
        <f t="shared" si="2"/>
        <v>JELAKOMBOJOMBANG</v>
      </c>
      <c r="B153" s="15" t="s">
        <v>58</v>
      </c>
      <c r="C153" s="15" t="s">
        <v>101</v>
      </c>
      <c r="D153" s="15" t="s">
        <v>259</v>
      </c>
    </row>
    <row r="154" spans="1:4" ht="14.45" x14ac:dyDescent="0.3">
      <c r="A154" t="str">
        <f t="shared" si="2"/>
        <v>KEPANJENJOMBANG</v>
      </c>
      <c r="B154" s="15" t="s">
        <v>58</v>
      </c>
      <c r="C154" s="15" t="s">
        <v>101</v>
      </c>
      <c r="D154" s="15" t="s">
        <v>260</v>
      </c>
    </row>
    <row r="155" spans="1:4" ht="14.45" x14ac:dyDescent="0.3">
      <c r="A155" t="str">
        <f t="shared" si="2"/>
        <v>BANJARDOWOJOMBANG</v>
      </c>
      <c r="B155" s="15" t="s">
        <v>113</v>
      </c>
      <c r="C155" s="15" t="s">
        <v>101</v>
      </c>
      <c r="D155" s="15" t="s">
        <v>151</v>
      </c>
    </row>
    <row r="156" spans="1:4" ht="14.45" x14ac:dyDescent="0.3">
      <c r="A156" t="str">
        <f t="shared" si="2"/>
        <v>SAMBONG DUKUHJOMBANG</v>
      </c>
      <c r="B156" s="15" t="s">
        <v>113</v>
      </c>
      <c r="C156" s="15" t="s">
        <v>101</v>
      </c>
      <c r="D156" s="15" t="s">
        <v>261</v>
      </c>
    </row>
    <row r="157" spans="1:4" ht="14.45" x14ac:dyDescent="0.3">
      <c r="A157" t="str">
        <f t="shared" si="2"/>
        <v>KALIWUNGUJOMBANG</v>
      </c>
      <c r="B157" s="15" t="s">
        <v>113</v>
      </c>
      <c r="C157" s="15" t="s">
        <v>101</v>
      </c>
      <c r="D157" s="15" t="s">
        <v>262</v>
      </c>
    </row>
    <row r="158" spans="1:4" ht="14.45" x14ac:dyDescent="0.3">
      <c r="A158" t="str">
        <f t="shared" si="2"/>
        <v>SUMBEREJOJOMBANG</v>
      </c>
      <c r="B158" s="15" t="s">
        <v>113</v>
      </c>
      <c r="C158" s="15" t="s">
        <v>101</v>
      </c>
      <c r="D158" s="15" t="s">
        <v>263</v>
      </c>
    </row>
    <row r="159" spans="1:4" ht="14.45" x14ac:dyDescent="0.3">
      <c r="A159" t="str">
        <f t="shared" si="2"/>
        <v>PLOSOGENENGJOMBANG</v>
      </c>
      <c r="B159" s="15" t="s">
        <v>113</v>
      </c>
      <c r="C159" s="15" t="s">
        <v>101</v>
      </c>
      <c r="D159" s="15" t="s">
        <v>264</v>
      </c>
    </row>
    <row r="160" spans="1:4" ht="14.45" x14ac:dyDescent="0.3">
      <c r="A160" t="str">
        <f t="shared" si="2"/>
        <v>TALUNKIDULSUMOBITO</v>
      </c>
      <c r="B160" s="15" t="s">
        <v>113</v>
      </c>
      <c r="C160" s="15" t="s">
        <v>103</v>
      </c>
      <c r="D160" s="15" t="s">
        <v>152</v>
      </c>
    </row>
    <row r="161" spans="1:4" ht="14.45" x14ac:dyDescent="0.3">
      <c r="A161" t="str">
        <f t="shared" si="2"/>
        <v>MENTOROSUMOBITO</v>
      </c>
      <c r="B161" s="15" t="s">
        <v>113</v>
      </c>
      <c r="C161" s="15" t="s">
        <v>103</v>
      </c>
      <c r="D161" s="15" t="s">
        <v>265</v>
      </c>
    </row>
    <row r="162" spans="1:4" ht="14.45" x14ac:dyDescent="0.3">
      <c r="A162" t="str">
        <f t="shared" si="2"/>
        <v>SEBANISUMOBITO</v>
      </c>
      <c r="B162" s="15" t="s">
        <v>113</v>
      </c>
      <c r="C162" s="15" t="s">
        <v>103</v>
      </c>
      <c r="D162" s="15" t="s">
        <v>266</v>
      </c>
    </row>
    <row r="163" spans="1:4" ht="14.45" x14ac:dyDescent="0.3">
      <c r="A163" t="str">
        <f t="shared" si="2"/>
        <v>TEMBELANGTEMBELANG</v>
      </c>
      <c r="B163" s="15" t="s">
        <v>114</v>
      </c>
      <c r="C163" s="15" t="s">
        <v>115</v>
      </c>
      <c r="D163" s="15" t="s">
        <v>115</v>
      </c>
    </row>
    <row r="164" spans="1:4" ht="14.45" x14ac:dyDescent="0.3">
      <c r="A164" t="str">
        <f t="shared" si="2"/>
        <v>SENTULTEMBELANG</v>
      </c>
      <c r="B164" s="15" t="s">
        <v>114</v>
      </c>
      <c r="C164" s="15" t="s">
        <v>115</v>
      </c>
      <c r="D164" s="15" t="s">
        <v>267</v>
      </c>
    </row>
    <row r="165" spans="1:4" ht="14.45" x14ac:dyDescent="0.3">
      <c r="A165" t="str">
        <f t="shared" si="2"/>
        <v>BEDAHLAWAKTEMBELANG</v>
      </c>
      <c r="B165" s="15" t="s">
        <v>114</v>
      </c>
      <c r="C165" s="15" t="s">
        <v>115</v>
      </c>
      <c r="D165" s="15" t="s">
        <v>268</v>
      </c>
    </row>
    <row r="166" spans="1:4" ht="14.45" x14ac:dyDescent="0.3">
      <c r="A166" t="str">
        <f t="shared" si="2"/>
        <v>KEDUNGOTOKTEMBELANG</v>
      </c>
      <c r="B166" s="15" t="s">
        <v>114</v>
      </c>
      <c r="C166" s="15" t="s">
        <v>115</v>
      </c>
      <c r="D166" s="15" t="s">
        <v>269</v>
      </c>
    </row>
    <row r="167" spans="1:4" ht="14.45" x14ac:dyDescent="0.3">
      <c r="A167" t="str">
        <f t="shared" si="2"/>
        <v>GABUSBANARANTEMBELANG</v>
      </c>
      <c r="B167" s="15" t="s">
        <v>114</v>
      </c>
      <c r="C167" s="15" t="s">
        <v>115</v>
      </c>
      <c r="D167" s="15" t="s">
        <v>270</v>
      </c>
    </row>
    <row r="168" spans="1:4" ht="14.45" x14ac:dyDescent="0.3">
      <c r="A168" t="str">
        <f t="shared" si="2"/>
        <v>PULOGEDANGTEMBELANG</v>
      </c>
      <c r="B168" s="15" t="s">
        <v>114</v>
      </c>
      <c r="C168" s="15" t="s">
        <v>115</v>
      </c>
      <c r="D168" s="15" t="s">
        <v>271</v>
      </c>
    </row>
    <row r="169" spans="1:4" ht="14.45" x14ac:dyDescent="0.3">
      <c r="A169" t="str">
        <f t="shared" si="2"/>
        <v>KEPUHDOKOTEMBELANG</v>
      </c>
      <c r="B169" s="15" t="s">
        <v>114</v>
      </c>
      <c r="C169" s="15" t="s">
        <v>115</v>
      </c>
      <c r="D169" s="15" t="s">
        <v>272</v>
      </c>
    </row>
    <row r="170" spans="1:4" ht="14.45" x14ac:dyDescent="0.3">
      <c r="A170" t="str">
        <f t="shared" si="2"/>
        <v>JATIWATESTEMBELANG</v>
      </c>
      <c r="B170" s="15" t="s">
        <v>114</v>
      </c>
      <c r="C170" s="15" t="s">
        <v>115</v>
      </c>
      <c r="D170" s="15" t="s">
        <v>273</v>
      </c>
    </row>
    <row r="171" spans="1:4" ht="14.45" x14ac:dyDescent="0.3">
      <c r="A171" t="str">
        <f t="shared" si="2"/>
        <v>KALIKEJAMBONTEMBELANG</v>
      </c>
      <c r="B171" s="15" t="s">
        <v>114</v>
      </c>
      <c r="C171" s="15" t="s">
        <v>115</v>
      </c>
      <c r="D171" s="15" t="s">
        <v>274</v>
      </c>
    </row>
    <row r="172" spans="1:4" ht="14.45" x14ac:dyDescent="0.3">
      <c r="A172" t="str">
        <f t="shared" si="2"/>
        <v>MOJOKRAPAKTEMBELANG</v>
      </c>
      <c r="B172" s="15" t="s">
        <v>114</v>
      </c>
      <c r="C172" s="15" t="s">
        <v>115</v>
      </c>
      <c r="D172" s="15" t="s">
        <v>275</v>
      </c>
    </row>
    <row r="173" spans="1:4" ht="14.45" x14ac:dyDescent="0.3">
      <c r="A173" t="str">
        <f t="shared" si="2"/>
        <v>TAMPINGMOJOTEMBELANG</v>
      </c>
      <c r="B173" s="15" t="s">
        <v>114</v>
      </c>
      <c r="C173" s="15" t="s">
        <v>115</v>
      </c>
      <c r="D173" s="15" t="s">
        <v>276</v>
      </c>
    </row>
    <row r="174" spans="1:4" ht="14.45" x14ac:dyDescent="0.3">
      <c r="A174" t="str">
        <f t="shared" si="2"/>
        <v>PESANTRENTEMBELANG</v>
      </c>
      <c r="B174" s="15" t="s">
        <v>114</v>
      </c>
      <c r="C174" s="15" t="s">
        <v>115</v>
      </c>
      <c r="D174" s="15" t="s">
        <v>277</v>
      </c>
    </row>
    <row r="175" spans="1:4" ht="14.45" x14ac:dyDescent="0.3">
      <c r="A175" t="str">
        <f t="shared" si="2"/>
        <v>KEDUNGLOSARITEMBELANG</v>
      </c>
      <c r="B175" s="15" t="s">
        <v>114</v>
      </c>
      <c r="C175" s="15" t="s">
        <v>115</v>
      </c>
      <c r="D175" s="15" t="s">
        <v>278</v>
      </c>
    </row>
    <row r="176" spans="1:4" ht="14.45" x14ac:dyDescent="0.3">
      <c r="A176" t="str">
        <f t="shared" si="2"/>
        <v>KESAMBENKESAMBEN</v>
      </c>
      <c r="B176" s="15" t="s">
        <v>61</v>
      </c>
      <c r="C176" s="15" t="s">
        <v>116</v>
      </c>
      <c r="D176" s="15" t="s">
        <v>116</v>
      </c>
    </row>
    <row r="177" spans="1:4" ht="14.45" x14ac:dyDescent="0.3">
      <c r="A177" t="str">
        <f t="shared" si="2"/>
        <v>POJOKREJOKESAMBEN</v>
      </c>
      <c r="B177" s="15" t="s">
        <v>61</v>
      </c>
      <c r="C177" s="15" t="s">
        <v>116</v>
      </c>
      <c r="D177" s="15" t="s">
        <v>279</v>
      </c>
    </row>
    <row r="178" spans="1:4" ht="14.45" x14ac:dyDescent="0.3">
      <c r="A178" t="str">
        <f t="shared" si="2"/>
        <v>PODOROTOKESAMBEN</v>
      </c>
      <c r="B178" s="15" t="s">
        <v>61</v>
      </c>
      <c r="C178" s="15" t="s">
        <v>116</v>
      </c>
      <c r="D178" s="15" t="s">
        <v>280</v>
      </c>
    </row>
    <row r="179" spans="1:4" ht="14.45" x14ac:dyDescent="0.3">
      <c r="A179" t="str">
        <f t="shared" si="2"/>
        <v>KEDUNGMLATIKESAMBEN</v>
      </c>
      <c r="B179" s="15" t="s">
        <v>61</v>
      </c>
      <c r="C179" s="15" t="s">
        <v>116</v>
      </c>
      <c r="D179" s="15" t="s">
        <v>281</v>
      </c>
    </row>
    <row r="180" spans="1:4" ht="14.45" x14ac:dyDescent="0.3">
      <c r="A180" t="str">
        <f t="shared" si="2"/>
        <v>JOMBATANKESAMBEN</v>
      </c>
      <c r="B180" s="15" t="s">
        <v>61</v>
      </c>
      <c r="C180" s="15" t="s">
        <v>116</v>
      </c>
      <c r="D180" s="15" t="s">
        <v>125</v>
      </c>
    </row>
    <row r="181" spans="1:4" ht="14.45" x14ac:dyDescent="0.3">
      <c r="A181" t="str">
        <f t="shared" si="2"/>
        <v>BLIMBINGKESAMBEN</v>
      </c>
      <c r="B181" s="15" t="s">
        <v>61</v>
      </c>
      <c r="C181" s="15" t="s">
        <v>116</v>
      </c>
      <c r="D181" s="15" t="s">
        <v>184</v>
      </c>
    </row>
    <row r="182" spans="1:4" ht="14.45" x14ac:dyDescent="0.3">
      <c r="A182" t="str">
        <f t="shared" si="2"/>
        <v>JATIDUWURKESAMBEN</v>
      </c>
      <c r="B182" s="15" t="s">
        <v>61</v>
      </c>
      <c r="C182" s="15" t="s">
        <v>116</v>
      </c>
      <c r="D182" s="15" t="s">
        <v>282</v>
      </c>
    </row>
    <row r="183" spans="1:4" ht="14.45" x14ac:dyDescent="0.3">
      <c r="A183" t="str">
        <f t="shared" si="2"/>
        <v>KEDUNGBETIKKESAMBEN</v>
      </c>
      <c r="B183" s="15" t="s">
        <v>61</v>
      </c>
      <c r="C183" s="15" t="s">
        <v>116</v>
      </c>
      <c r="D183" s="15" t="s">
        <v>283</v>
      </c>
    </row>
    <row r="184" spans="1:4" ht="14.45" x14ac:dyDescent="0.3">
      <c r="A184" t="str">
        <f t="shared" si="2"/>
        <v>GUMULANKESAMBEN</v>
      </c>
      <c r="B184" s="15" t="s">
        <v>61</v>
      </c>
      <c r="C184" s="15" t="s">
        <v>116</v>
      </c>
      <c r="D184" s="15" t="s">
        <v>284</v>
      </c>
    </row>
    <row r="185" spans="1:4" ht="14.45" x14ac:dyDescent="0.3">
      <c r="A185" t="str">
        <f t="shared" si="2"/>
        <v>POJOKKULONKESAMBEN</v>
      </c>
      <c r="B185" s="15" t="s">
        <v>61</v>
      </c>
      <c r="C185" s="15" t="s">
        <v>116</v>
      </c>
      <c r="D185" s="15" t="s">
        <v>285</v>
      </c>
    </row>
    <row r="186" spans="1:4" ht="14.45" x14ac:dyDescent="0.3">
      <c r="A186" t="str">
        <f t="shared" si="2"/>
        <v>JOMBOK WULUHKESAMBEN</v>
      </c>
      <c r="B186" s="15" t="s">
        <v>61</v>
      </c>
      <c r="C186" s="15" t="s">
        <v>116</v>
      </c>
      <c r="D186" s="15" t="s">
        <v>286</v>
      </c>
    </row>
    <row r="187" spans="1:4" ht="14.45" x14ac:dyDescent="0.3">
      <c r="A187" t="str">
        <f t="shared" si="2"/>
        <v>PLOSOGENUKPERAK</v>
      </c>
      <c r="B187" s="15" t="s">
        <v>34</v>
      </c>
      <c r="C187" s="15" t="s">
        <v>98</v>
      </c>
      <c r="D187" s="15" t="s">
        <v>153</v>
      </c>
    </row>
    <row r="188" spans="1:4" ht="14.45" x14ac:dyDescent="0.3">
      <c r="A188" t="str">
        <f t="shared" si="2"/>
        <v>SUMBERAGUNGPERAK</v>
      </c>
      <c r="B188" s="15" t="s">
        <v>34</v>
      </c>
      <c r="C188" s="15" t="s">
        <v>98</v>
      </c>
      <c r="D188" s="15" t="s">
        <v>258</v>
      </c>
    </row>
    <row r="189" spans="1:4" ht="14.45" x14ac:dyDescent="0.3">
      <c r="A189" t="str">
        <f t="shared" si="2"/>
        <v>JANTIGANGGONGPERAK</v>
      </c>
      <c r="B189" s="15" t="s">
        <v>34</v>
      </c>
      <c r="C189" s="15" t="s">
        <v>98</v>
      </c>
      <c r="D189" s="15" t="s">
        <v>287</v>
      </c>
    </row>
    <row r="190" spans="1:4" ht="14.45" x14ac:dyDescent="0.3">
      <c r="A190" t="str">
        <f t="shared" si="2"/>
        <v>PULO LORJOMBANG</v>
      </c>
      <c r="B190" s="15" t="s">
        <v>34</v>
      </c>
      <c r="C190" s="15" t="s">
        <v>101</v>
      </c>
      <c r="D190" s="15" t="s">
        <v>117</v>
      </c>
    </row>
    <row r="191" spans="1:4" ht="14.45" x14ac:dyDescent="0.3">
      <c r="A191" t="str">
        <f t="shared" si="2"/>
        <v>PULOREJOTEMBELANG</v>
      </c>
      <c r="B191" s="15" t="s">
        <v>34</v>
      </c>
      <c r="C191" s="15" t="s">
        <v>115</v>
      </c>
      <c r="D191" s="15" t="s">
        <v>154</v>
      </c>
    </row>
    <row r="192" spans="1:4" ht="14.45" x14ac:dyDescent="0.3">
      <c r="A192" t="str">
        <f t="shared" si="2"/>
        <v>REJOSOPINGGIRTEMBELANG</v>
      </c>
      <c r="B192" s="15" t="s">
        <v>34</v>
      </c>
      <c r="C192" s="15" t="s">
        <v>115</v>
      </c>
      <c r="D192" s="15" t="s">
        <v>288</v>
      </c>
    </row>
    <row r="193" spans="1:4" ht="14.45" x14ac:dyDescent="0.3">
      <c r="A193" t="str">
        <f t="shared" si="2"/>
        <v>MEGALUHMEGALUH</v>
      </c>
      <c r="B193" s="15" t="s">
        <v>34</v>
      </c>
      <c r="C193" s="15" t="s">
        <v>118</v>
      </c>
      <c r="D193" s="15" t="s">
        <v>118</v>
      </c>
    </row>
    <row r="194" spans="1:4" ht="14.45" x14ac:dyDescent="0.3">
      <c r="A194" t="str">
        <f t="shared" si="2"/>
        <v>BALONGSARIMEGALUH</v>
      </c>
      <c r="B194" s="15" t="s">
        <v>34</v>
      </c>
      <c r="C194" s="15" t="s">
        <v>118</v>
      </c>
      <c r="D194" s="15" t="s">
        <v>334</v>
      </c>
    </row>
    <row r="195" spans="1:4" ht="14.45" x14ac:dyDescent="0.3">
      <c r="A195" t="str">
        <f t="shared" ref="A195:A258" si="3">D195&amp;C195</f>
        <v>GONGSENGMEGALUH</v>
      </c>
      <c r="B195" s="15" t="s">
        <v>34</v>
      </c>
      <c r="C195" s="15" t="s">
        <v>118</v>
      </c>
      <c r="D195" s="15" t="s">
        <v>335</v>
      </c>
    </row>
    <row r="196" spans="1:4" ht="14.45" x14ac:dyDescent="0.3">
      <c r="A196" t="str">
        <f t="shared" si="3"/>
        <v>TURIPINGGIRMEGALUH</v>
      </c>
      <c r="B196" s="15" t="s">
        <v>34</v>
      </c>
      <c r="C196" s="15" t="s">
        <v>118</v>
      </c>
      <c r="D196" s="15" t="s">
        <v>336</v>
      </c>
    </row>
    <row r="197" spans="1:4" ht="14.45" x14ac:dyDescent="0.3">
      <c r="A197" t="str">
        <f t="shared" si="3"/>
        <v>SUMBERSARIMEGALUH</v>
      </c>
      <c r="B197" s="15" t="s">
        <v>34</v>
      </c>
      <c r="C197" s="15" t="s">
        <v>118</v>
      </c>
      <c r="D197" s="15" t="s">
        <v>337</v>
      </c>
    </row>
    <row r="198" spans="1:4" ht="14.45" x14ac:dyDescent="0.3">
      <c r="A198" t="str">
        <f t="shared" si="3"/>
        <v>SUMBERAGUNGMEGALUH</v>
      </c>
      <c r="B198" s="15" t="s">
        <v>34</v>
      </c>
      <c r="C198" s="15" t="s">
        <v>118</v>
      </c>
      <c r="D198" s="15" t="s">
        <v>258</v>
      </c>
    </row>
    <row r="199" spans="1:4" ht="14.45" x14ac:dyDescent="0.3">
      <c r="A199" t="str">
        <f t="shared" si="3"/>
        <v>NGOGRIMEGALUH</v>
      </c>
      <c r="B199" s="15" t="s">
        <v>34</v>
      </c>
      <c r="C199" s="15" t="s">
        <v>118</v>
      </c>
      <c r="D199" s="15" t="s">
        <v>338</v>
      </c>
    </row>
    <row r="200" spans="1:4" ht="14.45" x14ac:dyDescent="0.3">
      <c r="A200" t="str">
        <f t="shared" si="3"/>
        <v>DUKUHARUMMEGALUH</v>
      </c>
      <c r="B200" s="15" t="s">
        <v>34</v>
      </c>
      <c r="C200" s="15" t="s">
        <v>118</v>
      </c>
      <c r="D200" s="15" t="s">
        <v>339</v>
      </c>
    </row>
    <row r="201" spans="1:4" ht="14.45" x14ac:dyDescent="0.3">
      <c r="A201" t="str">
        <f t="shared" si="3"/>
        <v>SIDOMULYOMEGALUH</v>
      </c>
      <c r="B201" s="15" t="s">
        <v>34</v>
      </c>
      <c r="C201" s="15" t="s">
        <v>118</v>
      </c>
      <c r="D201" s="15" t="s">
        <v>340</v>
      </c>
    </row>
    <row r="202" spans="1:4" ht="14.45" x14ac:dyDescent="0.3">
      <c r="A202" t="str">
        <f t="shared" si="3"/>
        <v>KEDUNGREJOMEGALUH</v>
      </c>
      <c r="B202" s="15" t="s">
        <v>34</v>
      </c>
      <c r="C202" s="15" t="s">
        <v>118</v>
      </c>
      <c r="D202" s="15" t="s">
        <v>341</v>
      </c>
    </row>
    <row r="203" spans="1:4" ht="14.45" x14ac:dyDescent="0.3">
      <c r="A203" t="str">
        <f t="shared" si="3"/>
        <v>PACAR PELUKMEGALUH</v>
      </c>
      <c r="B203" s="15" t="s">
        <v>34</v>
      </c>
      <c r="C203" s="15" t="s">
        <v>118</v>
      </c>
      <c r="D203" s="15" t="s">
        <v>342</v>
      </c>
    </row>
    <row r="204" spans="1:4" ht="14.45" x14ac:dyDescent="0.3">
      <c r="A204" t="str">
        <f t="shared" si="3"/>
        <v>BALONGGEMEKMEGALUH</v>
      </c>
      <c r="B204" s="15" t="s">
        <v>34</v>
      </c>
      <c r="C204" s="15" t="s">
        <v>118</v>
      </c>
      <c r="D204" s="15" t="s">
        <v>343</v>
      </c>
    </row>
    <row r="205" spans="1:4" ht="14.45" x14ac:dyDescent="0.3">
      <c r="A205" t="str">
        <f t="shared" si="3"/>
        <v>SUDIMOROMEGALUH</v>
      </c>
      <c r="B205" s="15" t="s">
        <v>34</v>
      </c>
      <c r="C205" s="15" t="s">
        <v>118</v>
      </c>
      <c r="D205" s="15" t="s">
        <v>313</v>
      </c>
    </row>
    <row r="206" spans="1:4" ht="14.45" x14ac:dyDescent="0.3">
      <c r="A206" t="str">
        <f t="shared" si="3"/>
        <v>BARENGBARENG</v>
      </c>
      <c r="B206" s="15" t="s">
        <v>119</v>
      </c>
      <c r="C206" s="15" t="s">
        <v>120</v>
      </c>
      <c r="D206" s="15" t="s">
        <v>120</v>
      </c>
    </row>
    <row r="207" spans="1:4" ht="14.45" x14ac:dyDescent="0.3">
      <c r="A207" t="str">
        <f t="shared" si="3"/>
        <v>NGLEBAKBARENG</v>
      </c>
      <c r="B207" s="15" t="s">
        <v>119</v>
      </c>
      <c r="C207" s="15" t="s">
        <v>120</v>
      </c>
      <c r="D207" s="15" t="s">
        <v>344</v>
      </c>
    </row>
    <row r="208" spans="1:4" ht="14.45" x14ac:dyDescent="0.3">
      <c r="A208" t="str">
        <f t="shared" si="3"/>
        <v>PAKELBARENG</v>
      </c>
      <c r="B208" s="15" t="s">
        <v>119</v>
      </c>
      <c r="C208" s="15" t="s">
        <v>120</v>
      </c>
      <c r="D208" s="15" t="s">
        <v>345</v>
      </c>
    </row>
    <row r="209" spans="1:4" ht="14.45" x14ac:dyDescent="0.3">
      <c r="A209" t="str">
        <f t="shared" si="3"/>
        <v>NGRIMBIBARENG</v>
      </c>
      <c r="B209" s="15" t="s">
        <v>119</v>
      </c>
      <c r="C209" s="15" t="s">
        <v>120</v>
      </c>
      <c r="D209" s="15" t="s">
        <v>346</v>
      </c>
    </row>
    <row r="210" spans="1:4" ht="14.45" x14ac:dyDescent="0.3">
      <c r="A210" t="str">
        <f t="shared" si="3"/>
        <v>KARANGANBARENG</v>
      </c>
      <c r="B210" s="15" t="s">
        <v>119</v>
      </c>
      <c r="C210" s="15" t="s">
        <v>120</v>
      </c>
      <c r="D210" s="15" t="s">
        <v>347</v>
      </c>
    </row>
    <row r="211" spans="1:4" ht="14.45" x14ac:dyDescent="0.3">
      <c r="A211" t="str">
        <f t="shared" si="3"/>
        <v>MOJOTENGAHBARENG</v>
      </c>
      <c r="B211" s="15" t="s">
        <v>119</v>
      </c>
      <c r="C211" s="15" t="s">
        <v>120</v>
      </c>
      <c r="D211" s="15" t="s">
        <v>348</v>
      </c>
    </row>
    <row r="212" spans="1:4" ht="14.45" x14ac:dyDescent="0.3">
      <c r="A212" t="str">
        <f t="shared" si="3"/>
        <v>BANJARAGUNGBARENG</v>
      </c>
      <c r="B212" s="15" t="s">
        <v>119</v>
      </c>
      <c r="C212" s="15" t="s">
        <v>120</v>
      </c>
      <c r="D212" s="15" t="s">
        <v>349</v>
      </c>
    </row>
    <row r="213" spans="1:4" ht="14.45" x14ac:dyDescent="0.3">
      <c r="A213" t="str">
        <f t="shared" si="3"/>
        <v>JENISGELARANBARENG</v>
      </c>
      <c r="B213" s="15" t="s">
        <v>119</v>
      </c>
      <c r="C213" s="15" t="s">
        <v>120</v>
      </c>
      <c r="D213" s="15" t="s">
        <v>350</v>
      </c>
    </row>
    <row r="214" spans="1:4" ht="14.45" x14ac:dyDescent="0.3">
      <c r="A214" t="str">
        <f t="shared" si="3"/>
        <v>KEBONDALEMBARENG</v>
      </c>
      <c r="B214" s="15" t="s">
        <v>119</v>
      </c>
      <c r="C214" s="15" t="s">
        <v>120</v>
      </c>
      <c r="D214" s="15" t="s">
        <v>351</v>
      </c>
    </row>
    <row r="215" spans="1:4" ht="14.45" x14ac:dyDescent="0.3">
      <c r="A215" t="str">
        <f t="shared" si="3"/>
        <v>NGAMPUNGANBARENG</v>
      </c>
      <c r="B215" s="15" t="s">
        <v>119</v>
      </c>
      <c r="C215" s="15" t="s">
        <v>120</v>
      </c>
      <c r="D215" s="15" t="s">
        <v>352</v>
      </c>
    </row>
    <row r="216" spans="1:4" ht="14.45" x14ac:dyDescent="0.3">
      <c r="A216" t="str">
        <f t="shared" si="3"/>
        <v>PULOSARIBARENG</v>
      </c>
      <c r="B216" s="15" t="s">
        <v>119</v>
      </c>
      <c r="C216" s="15" t="s">
        <v>120</v>
      </c>
      <c r="D216" s="15" t="s">
        <v>353</v>
      </c>
    </row>
    <row r="217" spans="1:4" ht="14.45" x14ac:dyDescent="0.3">
      <c r="A217" t="str">
        <f t="shared" si="3"/>
        <v>TANGGUNGANBARENG</v>
      </c>
      <c r="B217" s="15" t="s">
        <v>119</v>
      </c>
      <c r="C217" s="15" t="s">
        <v>120</v>
      </c>
      <c r="D217" s="15" t="s">
        <v>160</v>
      </c>
    </row>
    <row r="218" spans="1:4" ht="14.45" x14ac:dyDescent="0.3">
      <c r="A218" t="str">
        <f t="shared" si="3"/>
        <v>TEGALREJOBARENG</v>
      </c>
      <c r="B218" s="15" t="s">
        <v>119</v>
      </c>
      <c r="C218" s="15" t="s">
        <v>120</v>
      </c>
      <c r="D218" s="15" t="s">
        <v>354</v>
      </c>
    </row>
    <row r="219" spans="1:4" ht="14.45" x14ac:dyDescent="0.3">
      <c r="A219" t="str">
        <f t="shared" si="3"/>
        <v>BAWANGANPLOSO</v>
      </c>
      <c r="B219" s="15" t="s">
        <v>121</v>
      </c>
      <c r="C219" s="15" t="s">
        <v>122</v>
      </c>
      <c r="D219" s="15" t="s">
        <v>314</v>
      </c>
    </row>
    <row r="220" spans="1:4" ht="14.45" x14ac:dyDescent="0.3">
      <c r="A220" t="str">
        <f t="shared" si="3"/>
        <v>DADITUNGGALPLOSO</v>
      </c>
      <c r="B220" s="15" t="s">
        <v>121</v>
      </c>
      <c r="C220" s="15" t="s">
        <v>122</v>
      </c>
      <c r="D220" s="15" t="s">
        <v>355</v>
      </c>
    </row>
    <row r="221" spans="1:4" ht="14.45" x14ac:dyDescent="0.3">
      <c r="A221" t="str">
        <f t="shared" si="3"/>
        <v>GEDONGOMBOPLOSO</v>
      </c>
      <c r="B221" s="15" t="s">
        <v>121</v>
      </c>
      <c r="C221" s="15" t="s">
        <v>122</v>
      </c>
      <c r="D221" s="15" t="s">
        <v>356</v>
      </c>
    </row>
    <row r="222" spans="1:4" ht="14.45" x14ac:dyDescent="0.3">
      <c r="A222" t="str">
        <f t="shared" si="3"/>
        <v>JATIBANJARPLOSO</v>
      </c>
      <c r="B222" s="15" t="s">
        <v>121</v>
      </c>
      <c r="C222" s="15" t="s">
        <v>122</v>
      </c>
      <c r="D222" s="15" t="s">
        <v>357</v>
      </c>
    </row>
    <row r="223" spans="1:4" ht="14.45" x14ac:dyDescent="0.3">
      <c r="A223" t="str">
        <f t="shared" si="3"/>
        <v>JATIGEDONGPLOSO</v>
      </c>
      <c r="B223" s="15" t="s">
        <v>121</v>
      </c>
      <c r="C223" s="15" t="s">
        <v>122</v>
      </c>
      <c r="D223" s="15" t="s">
        <v>358</v>
      </c>
    </row>
    <row r="224" spans="1:4" ht="14.45" x14ac:dyDescent="0.3">
      <c r="A224" t="str">
        <f t="shared" si="3"/>
        <v>KEBONAGUNGPLOSO</v>
      </c>
      <c r="B224" s="15" t="s">
        <v>121</v>
      </c>
      <c r="C224" s="15" t="s">
        <v>122</v>
      </c>
      <c r="D224" s="15" t="s">
        <v>359</v>
      </c>
    </row>
    <row r="225" spans="1:4" ht="14.45" x14ac:dyDescent="0.3">
      <c r="A225" t="str">
        <f t="shared" si="3"/>
        <v>KEDUNGDOWOPLOSO</v>
      </c>
      <c r="B225" s="15" t="s">
        <v>121</v>
      </c>
      <c r="C225" s="15" t="s">
        <v>122</v>
      </c>
      <c r="D225" s="15" t="s">
        <v>360</v>
      </c>
    </row>
    <row r="226" spans="1:4" ht="14.45" x14ac:dyDescent="0.3">
      <c r="A226" t="str">
        <f t="shared" si="3"/>
        <v>LOSARIPLOSO</v>
      </c>
      <c r="B226" s="15" t="s">
        <v>121</v>
      </c>
      <c r="C226" s="15" t="s">
        <v>122</v>
      </c>
      <c r="D226" s="15" t="s">
        <v>361</v>
      </c>
    </row>
    <row r="227" spans="1:4" ht="14.45" x14ac:dyDescent="0.3">
      <c r="A227" t="str">
        <f t="shared" si="3"/>
        <v>PAGERTANJUNGPLOSO</v>
      </c>
      <c r="B227" s="15" t="s">
        <v>121</v>
      </c>
      <c r="C227" s="15" t="s">
        <v>122</v>
      </c>
      <c r="D227" s="15" t="s">
        <v>362</v>
      </c>
    </row>
    <row r="228" spans="1:4" ht="14.45" x14ac:dyDescent="0.3">
      <c r="A228" t="str">
        <f t="shared" si="3"/>
        <v>PANDANBLOLEPLOSO</v>
      </c>
      <c r="B228" s="15" t="s">
        <v>121</v>
      </c>
      <c r="C228" s="15" t="s">
        <v>122</v>
      </c>
      <c r="D228" s="15" t="s">
        <v>363</v>
      </c>
    </row>
    <row r="229" spans="1:4" ht="14.45" x14ac:dyDescent="0.3">
      <c r="A229" t="str">
        <f t="shared" si="3"/>
        <v>PLOSOPLOSO</v>
      </c>
      <c r="B229" s="15" t="s">
        <v>121</v>
      </c>
      <c r="C229" s="15" t="s">
        <v>122</v>
      </c>
      <c r="D229" s="15" t="s">
        <v>122</v>
      </c>
    </row>
    <row r="230" spans="1:4" ht="14.45" x14ac:dyDescent="0.3">
      <c r="A230" t="str">
        <f t="shared" si="3"/>
        <v>REJOAGUNGPLOSO</v>
      </c>
      <c r="B230" s="15" t="s">
        <v>121</v>
      </c>
      <c r="C230" s="15" t="s">
        <v>122</v>
      </c>
      <c r="D230" s="15" t="s">
        <v>207</v>
      </c>
    </row>
    <row r="231" spans="1:4" ht="14.45" x14ac:dyDescent="0.3">
      <c r="A231" t="str">
        <f t="shared" si="3"/>
        <v>TANGGUNGKRAMATPLOSO</v>
      </c>
      <c r="B231" s="15" t="s">
        <v>121</v>
      </c>
      <c r="C231" s="15" t="s">
        <v>122</v>
      </c>
      <c r="D231" s="15" t="s">
        <v>315</v>
      </c>
    </row>
    <row r="232" spans="1:4" ht="14.45" x14ac:dyDescent="0.3">
      <c r="A232" t="str">
        <f t="shared" si="3"/>
        <v>CARANGWULUNGWONOSALAM</v>
      </c>
      <c r="B232" s="15" t="s">
        <v>123</v>
      </c>
      <c r="C232" s="15" t="s">
        <v>124</v>
      </c>
      <c r="D232" s="15" t="s">
        <v>316</v>
      </c>
    </row>
    <row r="233" spans="1:4" ht="14.45" x14ac:dyDescent="0.3">
      <c r="A233" t="str">
        <f t="shared" si="3"/>
        <v>GALENGDOWOWONOSALAM</v>
      </c>
      <c r="B233" s="15" t="s">
        <v>123</v>
      </c>
      <c r="C233" s="15" t="s">
        <v>124</v>
      </c>
      <c r="D233" s="15" t="s">
        <v>364</v>
      </c>
    </row>
    <row r="234" spans="1:4" ht="14.45" x14ac:dyDescent="0.3">
      <c r="A234" t="str">
        <f t="shared" si="3"/>
        <v>JARAKWONOSALAM</v>
      </c>
      <c r="B234" s="15" t="s">
        <v>123</v>
      </c>
      <c r="C234" s="15" t="s">
        <v>124</v>
      </c>
      <c r="D234" s="15" t="s">
        <v>365</v>
      </c>
    </row>
    <row r="235" spans="1:4" ht="14.45" x14ac:dyDescent="0.3">
      <c r="A235" t="str">
        <f t="shared" si="3"/>
        <v>PANGLUNGANWONOSALAM</v>
      </c>
      <c r="B235" s="15" t="s">
        <v>123</v>
      </c>
      <c r="C235" s="15" t="s">
        <v>124</v>
      </c>
      <c r="D235" s="15" t="s">
        <v>366</v>
      </c>
    </row>
    <row r="236" spans="1:4" ht="14.45" x14ac:dyDescent="0.3">
      <c r="A236" t="str">
        <f t="shared" si="3"/>
        <v>SAMBIREJOWONOSALAM</v>
      </c>
      <c r="B236" s="15" t="s">
        <v>123</v>
      </c>
      <c r="C236" s="15" t="s">
        <v>124</v>
      </c>
      <c r="D236" s="15" t="s">
        <v>225</v>
      </c>
    </row>
    <row r="237" spans="1:4" ht="14.45" x14ac:dyDescent="0.3">
      <c r="A237" t="str">
        <f t="shared" si="3"/>
        <v>SUMBERJOWONOSALAM</v>
      </c>
      <c r="B237" s="15" t="s">
        <v>123</v>
      </c>
      <c r="C237" s="15" t="s">
        <v>124</v>
      </c>
      <c r="D237" s="15" t="s">
        <v>367</v>
      </c>
    </row>
    <row r="238" spans="1:4" ht="14.45" x14ac:dyDescent="0.3">
      <c r="A238" t="str">
        <f t="shared" si="3"/>
        <v>WONOMERTOWONOSALAM</v>
      </c>
      <c r="B238" s="15" t="s">
        <v>123</v>
      </c>
      <c r="C238" s="15" t="s">
        <v>124</v>
      </c>
      <c r="D238" s="15" t="s">
        <v>368</v>
      </c>
    </row>
    <row r="239" spans="1:4" ht="14.45" x14ac:dyDescent="0.3">
      <c r="A239" t="str">
        <f t="shared" si="3"/>
        <v>WONOKERTOWONOSALAM</v>
      </c>
      <c r="B239" s="15" t="s">
        <v>123</v>
      </c>
      <c r="C239" s="15" t="s">
        <v>124</v>
      </c>
      <c r="D239" s="15" t="s">
        <v>369</v>
      </c>
    </row>
    <row r="240" spans="1:4" ht="14.45" x14ac:dyDescent="0.3">
      <c r="A240" t="str">
        <f t="shared" si="3"/>
        <v>WONOSALAMWONOSALAM</v>
      </c>
      <c r="B240" s="15" t="s">
        <v>123</v>
      </c>
      <c r="C240" s="15" t="s">
        <v>124</v>
      </c>
      <c r="D240" s="15" t="s">
        <v>124</v>
      </c>
    </row>
    <row r="241" spans="1:4" ht="14.45" x14ac:dyDescent="0.3">
      <c r="A241" t="str">
        <f t="shared" si="3"/>
        <v>JOMBATANJOMBANG</v>
      </c>
      <c r="B241" s="15" t="s">
        <v>123</v>
      </c>
      <c r="C241" s="15" t="s">
        <v>101</v>
      </c>
      <c r="D241" s="15" t="s">
        <v>125</v>
      </c>
    </row>
    <row r="242" spans="1:4" ht="14.45" x14ac:dyDescent="0.3">
      <c r="A242" t="str">
        <f t="shared" si="3"/>
        <v>MARMOYOKABUH</v>
      </c>
      <c r="B242" s="15" t="s">
        <v>126</v>
      </c>
      <c r="C242" s="15" t="s">
        <v>127</v>
      </c>
      <c r="D242" s="15" t="s">
        <v>317</v>
      </c>
    </row>
    <row r="243" spans="1:4" ht="14.45" x14ac:dyDescent="0.3">
      <c r="A243" t="str">
        <f t="shared" si="3"/>
        <v>TANJUNGWADUNGKABUH</v>
      </c>
      <c r="B243" s="15" t="s">
        <v>126</v>
      </c>
      <c r="C243" s="15" t="s">
        <v>127</v>
      </c>
      <c r="D243" s="15" t="s">
        <v>370</v>
      </c>
    </row>
    <row r="244" spans="1:4" ht="14.45" x14ac:dyDescent="0.3">
      <c r="A244" t="str">
        <f t="shared" si="3"/>
        <v>MANGUNANKABUH</v>
      </c>
      <c r="B244" s="15" t="s">
        <v>126</v>
      </c>
      <c r="C244" s="15" t="s">
        <v>127</v>
      </c>
      <c r="D244" s="15" t="s">
        <v>371</v>
      </c>
    </row>
    <row r="245" spans="1:4" ht="14.45" x14ac:dyDescent="0.3">
      <c r="A245" t="str">
        <f t="shared" si="3"/>
        <v>KEDUNGJATIKABUH</v>
      </c>
      <c r="B245" s="15" t="s">
        <v>126</v>
      </c>
      <c r="C245" s="15" t="s">
        <v>127</v>
      </c>
      <c r="D245" s="15" t="s">
        <v>372</v>
      </c>
    </row>
    <row r="246" spans="1:4" ht="14.45" x14ac:dyDescent="0.3">
      <c r="A246" t="str">
        <f t="shared" si="3"/>
        <v>KABUHKABUH</v>
      </c>
      <c r="B246" s="15" t="s">
        <v>126</v>
      </c>
      <c r="C246" s="15" t="s">
        <v>127</v>
      </c>
      <c r="D246" s="15" t="s">
        <v>127</v>
      </c>
    </row>
    <row r="247" spans="1:4" ht="14.45" x14ac:dyDescent="0.3">
      <c r="A247" t="str">
        <f t="shared" si="3"/>
        <v>KARANGPAKISKABUH</v>
      </c>
      <c r="B247" s="15" t="s">
        <v>126</v>
      </c>
      <c r="C247" s="15" t="s">
        <v>127</v>
      </c>
      <c r="D247" s="15" t="s">
        <v>373</v>
      </c>
    </row>
    <row r="248" spans="1:4" ht="14.45" x14ac:dyDescent="0.3">
      <c r="A248" t="str">
        <f t="shared" si="3"/>
        <v>BANJARDOWOKABUH</v>
      </c>
      <c r="B248" s="15" t="s">
        <v>126</v>
      </c>
      <c r="C248" s="15" t="s">
        <v>127</v>
      </c>
      <c r="D248" s="15" t="s">
        <v>151</v>
      </c>
    </row>
    <row r="249" spans="1:4" ht="14.45" x14ac:dyDescent="0.3">
      <c r="A249" t="str">
        <f t="shared" si="3"/>
        <v>SUMBERINGINKABUH</v>
      </c>
      <c r="B249" s="15" t="s">
        <v>126</v>
      </c>
      <c r="C249" s="15" t="s">
        <v>127</v>
      </c>
      <c r="D249" s="15" t="s">
        <v>374</v>
      </c>
    </row>
    <row r="250" spans="1:4" ht="14.45" x14ac:dyDescent="0.3">
      <c r="A250" t="str">
        <f t="shared" si="3"/>
        <v>SUMBERGONDANGKABUH</v>
      </c>
      <c r="B250" s="15" t="s">
        <v>126</v>
      </c>
      <c r="C250" s="15" t="s">
        <v>127</v>
      </c>
      <c r="D250" s="15" t="s">
        <v>375</v>
      </c>
    </row>
    <row r="251" spans="1:4" ht="14.45" x14ac:dyDescent="0.3">
      <c r="A251" t="str">
        <f t="shared" si="3"/>
        <v>KAUMANKABUH</v>
      </c>
      <c r="B251" s="15" t="s">
        <v>126</v>
      </c>
      <c r="C251" s="15" t="s">
        <v>127</v>
      </c>
      <c r="D251" s="15" t="s">
        <v>208</v>
      </c>
    </row>
    <row r="252" spans="1:4" ht="14.45" x14ac:dyDescent="0.3">
      <c r="A252" t="str">
        <f t="shared" si="3"/>
        <v>MUNUNGKEREPKABUH</v>
      </c>
      <c r="B252" s="15" t="s">
        <v>126</v>
      </c>
      <c r="C252" s="15" t="s">
        <v>127</v>
      </c>
      <c r="D252" s="15" t="s">
        <v>376</v>
      </c>
    </row>
    <row r="253" spans="1:4" ht="14.45" x14ac:dyDescent="0.3">
      <c r="A253" t="str">
        <f t="shared" si="3"/>
        <v>GENENGANJASEMKABUH</v>
      </c>
      <c r="B253" s="15" t="s">
        <v>126</v>
      </c>
      <c r="C253" s="15" t="s">
        <v>127</v>
      </c>
      <c r="D253" s="15" t="s">
        <v>377</v>
      </c>
    </row>
    <row r="254" spans="1:4" ht="14.45" x14ac:dyDescent="0.3">
      <c r="A254" t="str">
        <f t="shared" si="3"/>
        <v>MANDUROKABUH</v>
      </c>
      <c r="B254" s="15" t="s">
        <v>126</v>
      </c>
      <c r="C254" s="15" t="s">
        <v>127</v>
      </c>
      <c r="D254" s="15" t="s">
        <v>378</v>
      </c>
    </row>
    <row r="255" spans="1:4" ht="14.45" x14ac:dyDescent="0.3">
      <c r="A255" t="str">
        <f t="shared" si="3"/>
        <v>SUKODADIKABUH</v>
      </c>
      <c r="B255" s="15" t="s">
        <v>126</v>
      </c>
      <c r="C255" s="15" t="s">
        <v>127</v>
      </c>
      <c r="D255" s="15" t="s">
        <v>379</v>
      </c>
    </row>
    <row r="256" spans="1:4" ht="14.45" x14ac:dyDescent="0.3">
      <c r="A256" t="str">
        <f t="shared" si="3"/>
        <v>PENGAMPONKABUH</v>
      </c>
      <c r="B256" s="15" t="s">
        <v>126</v>
      </c>
      <c r="C256" s="15" t="s">
        <v>127</v>
      </c>
      <c r="D256" s="15" t="s">
        <v>380</v>
      </c>
    </row>
    <row r="257" spans="1:4" ht="14.45" x14ac:dyDescent="0.3">
      <c r="A257" t="str">
        <f t="shared" si="3"/>
        <v>SUMBERAJI.KABUH</v>
      </c>
      <c r="B257" s="15" t="s">
        <v>126</v>
      </c>
      <c r="C257" s="15" t="s">
        <v>127</v>
      </c>
      <c r="D257" s="15" t="s">
        <v>381</v>
      </c>
    </row>
    <row r="258" spans="1:4" ht="14.45" x14ac:dyDescent="0.3">
      <c r="A258" t="str">
        <f t="shared" si="3"/>
        <v>ASEMGEDENGUSIKAN</v>
      </c>
      <c r="B258" s="15" t="s">
        <v>126</v>
      </c>
      <c r="C258" s="15" t="s">
        <v>128</v>
      </c>
      <c r="D258" s="15" t="s">
        <v>318</v>
      </c>
    </row>
    <row r="259" spans="1:4" ht="14.45" x14ac:dyDescent="0.3">
      <c r="A259" t="str">
        <f t="shared" ref="A259:A307" si="4">D259&amp;C259</f>
        <v>CUPAKNGUSIKAN</v>
      </c>
      <c r="B259" s="15" t="s">
        <v>126</v>
      </c>
      <c r="C259" s="15" t="s">
        <v>128</v>
      </c>
      <c r="D259" s="15" t="s">
        <v>382</v>
      </c>
    </row>
    <row r="260" spans="1:4" ht="14.45" x14ac:dyDescent="0.3">
      <c r="A260" t="str">
        <f t="shared" si="4"/>
        <v>KEBOANNGUSIKAN</v>
      </c>
      <c r="B260" s="15" t="s">
        <v>126</v>
      </c>
      <c r="C260" s="15" t="s">
        <v>128</v>
      </c>
      <c r="D260" s="15" t="s">
        <v>383</v>
      </c>
    </row>
    <row r="261" spans="1:4" ht="14.45" x14ac:dyDescent="0.3">
      <c r="A261" t="str">
        <f t="shared" si="4"/>
        <v>KEDUNGBOGONGUSIKAN</v>
      </c>
      <c r="B261" s="15" t="s">
        <v>126</v>
      </c>
      <c r="C261" s="15" t="s">
        <v>128</v>
      </c>
      <c r="D261" s="15" t="s">
        <v>384</v>
      </c>
    </row>
    <row r="262" spans="1:4" ht="14.45" x14ac:dyDescent="0.3">
      <c r="A262" t="str">
        <f t="shared" si="4"/>
        <v>KETAPANGKUNINGNGUSIKAN</v>
      </c>
      <c r="B262" s="15" t="s">
        <v>126</v>
      </c>
      <c r="C262" s="15" t="s">
        <v>128</v>
      </c>
      <c r="D262" s="15" t="s">
        <v>385</v>
      </c>
    </row>
    <row r="263" spans="1:4" ht="14.45" x14ac:dyDescent="0.3">
      <c r="A263" t="str">
        <f t="shared" si="4"/>
        <v>KROMONGNGUSIKAN</v>
      </c>
      <c r="B263" s="15" t="s">
        <v>126</v>
      </c>
      <c r="C263" s="15" t="s">
        <v>128</v>
      </c>
      <c r="D263" s="15" t="s">
        <v>386</v>
      </c>
    </row>
    <row r="264" spans="1:4" ht="14.45" x14ac:dyDescent="0.3">
      <c r="A264" t="str">
        <f t="shared" si="4"/>
        <v>MANUNGGALNGUSIKAN</v>
      </c>
      <c r="B264" s="15" t="s">
        <v>126</v>
      </c>
      <c r="C264" s="15" t="s">
        <v>128</v>
      </c>
      <c r="D264" s="15" t="s">
        <v>387</v>
      </c>
    </row>
    <row r="265" spans="1:4" ht="14.45" x14ac:dyDescent="0.3">
      <c r="A265" t="str">
        <f t="shared" si="4"/>
        <v>MOJODANUNGUSIKAN</v>
      </c>
      <c r="B265" s="15" t="s">
        <v>126</v>
      </c>
      <c r="C265" s="15" t="s">
        <v>128</v>
      </c>
      <c r="D265" s="15" t="s">
        <v>388</v>
      </c>
    </row>
    <row r="266" spans="1:4" ht="14.45" x14ac:dyDescent="0.3">
      <c r="A266" t="str">
        <f t="shared" si="4"/>
        <v>NGAMPELNGUSIKAN</v>
      </c>
      <c r="B266" s="15" t="s">
        <v>126</v>
      </c>
      <c r="C266" s="15" t="s">
        <v>128</v>
      </c>
      <c r="D266" s="15" t="s">
        <v>389</v>
      </c>
    </row>
    <row r="267" spans="1:4" ht="14.45" x14ac:dyDescent="0.3">
      <c r="A267" t="str">
        <f t="shared" si="4"/>
        <v>NGUSIKANNGUSIKAN</v>
      </c>
      <c r="B267" s="15" t="s">
        <v>126</v>
      </c>
      <c r="C267" s="15" t="s">
        <v>128</v>
      </c>
      <c r="D267" s="15" t="s">
        <v>128</v>
      </c>
    </row>
    <row r="268" spans="1:4" ht="14.45" x14ac:dyDescent="0.3">
      <c r="A268" t="str">
        <f t="shared" si="4"/>
        <v>SUMBERNONGKONGUSIKAN</v>
      </c>
      <c r="B268" s="15" t="s">
        <v>126</v>
      </c>
      <c r="C268" s="15" t="s">
        <v>128</v>
      </c>
      <c r="D268" s="15" t="s">
        <v>319</v>
      </c>
    </row>
    <row r="269" spans="1:4" ht="14.45" x14ac:dyDescent="0.3">
      <c r="A269" t="str">
        <f t="shared" si="4"/>
        <v>LATSARIMOJOWARNO</v>
      </c>
      <c r="B269" s="15" t="s">
        <v>129</v>
      </c>
      <c r="C269" s="15" t="s">
        <v>0</v>
      </c>
      <c r="D269" s="15" t="s">
        <v>155</v>
      </c>
    </row>
    <row r="270" spans="1:4" ht="14.45" x14ac:dyDescent="0.3">
      <c r="A270" t="str">
        <f t="shared" si="4"/>
        <v>PENGGARONMOJOWARNO</v>
      </c>
      <c r="B270" s="15" t="s">
        <v>129</v>
      </c>
      <c r="C270" s="15" t="s">
        <v>0</v>
      </c>
      <c r="D270" s="15" t="s">
        <v>289</v>
      </c>
    </row>
    <row r="271" spans="1:4" ht="14.45" x14ac:dyDescent="0.3">
      <c r="A271" t="str">
        <f t="shared" si="4"/>
        <v>MOJODUWURMOJOWARNO</v>
      </c>
      <c r="B271" s="15" t="s">
        <v>129</v>
      </c>
      <c r="C271" s="15" t="s">
        <v>0</v>
      </c>
      <c r="D271" s="15" t="s">
        <v>290</v>
      </c>
    </row>
    <row r="272" spans="1:4" ht="14.45" x14ac:dyDescent="0.3">
      <c r="A272" t="str">
        <f t="shared" si="4"/>
        <v>GONDEKMOJOWARNO</v>
      </c>
      <c r="B272" s="15" t="s">
        <v>129</v>
      </c>
      <c r="C272" s="15" t="s">
        <v>0</v>
      </c>
      <c r="D272" s="15" t="s">
        <v>291</v>
      </c>
    </row>
    <row r="273" spans="1:4" ht="14.45" x14ac:dyDescent="0.3">
      <c r="A273" t="str">
        <f t="shared" si="4"/>
        <v>JAPANANMOJOWARNO</v>
      </c>
      <c r="B273" s="15" t="s">
        <v>129</v>
      </c>
      <c r="C273" s="15" t="s">
        <v>0</v>
      </c>
      <c r="D273" s="15" t="s">
        <v>180</v>
      </c>
    </row>
    <row r="274" spans="1:4" ht="14.45" x14ac:dyDescent="0.3">
      <c r="A274" t="str">
        <f t="shared" si="4"/>
        <v>REJOSLAMETMOJOWARNO</v>
      </c>
      <c r="B274" s="15" t="s">
        <v>129</v>
      </c>
      <c r="C274" s="15" t="s">
        <v>0</v>
      </c>
      <c r="D274" s="15" t="s">
        <v>292</v>
      </c>
    </row>
    <row r="275" spans="1:4" ht="14.45" x14ac:dyDescent="0.3">
      <c r="A275" t="str">
        <f t="shared" si="4"/>
        <v>SUKOMULYOMOJOWARNO</v>
      </c>
      <c r="B275" s="15" t="s">
        <v>129</v>
      </c>
      <c r="C275" s="15" t="s">
        <v>0</v>
      </c>
      <c r="D275" s="15" t="s">
        <v>293</v>
      </c>
    </row>
    <row r="276" spans="1:4" ht="14.45" x14ac:dyDescent="0.3">
      <c r="A276" t="str">
        <f t="shared" si="4"/>
        <v>JOMBANGJOMBANG</v>
      </c>
      <c r="B276" s="15" t="s">
        <v>130</v>
      </c>
      <c r="C276" s="15" t="s">
        <v>101</v>
      </c>
      <c r="D276" s="15" t="s">
        <v>101</v>
      </c>
    </row>
    <row r="277" spans="1:4" ht="14.45" x14ac:dyDescent="0.3">
      <c r="A277" t="str">
        <f t="shared" si="4"/>
        <v>DAPUR KEJAMBONJOMBANG</v>
      </c>
      <c r="B277" s="15" t="s">
        <v>130</v>
      </c>
      <c r="C277" s="15" t="s">
        <v>101</v>
      </c>
      <c r="D277" s="15" t="s">
        <v>294</v>
      </c>
    </row>
    <row r="278" spans="1:4" ht="14.45" x14ac:dyDescent="0.3">
      <c r="A278" t="str">
        <f t="shared" si="4"/>
        <v>KEPLAKSARIPETERONGAN</v>
      </c>
      <c r="B278" s="15" t="s">
        <v>131</v>
      </c>
      <c r="C278" s="15" t="s">
        <v>112</v>
      </c>
      <c r="D278" s="15" t="s">
        <v>156</v>
      </c>
    </row>
    <row r="279" spans="1:4" ht="14.45" x14ac:dyDescent="0.3">
      <c r="A279" t="str">
        <f t="shared" si="4"/>
        <v>MANCARPETERONGAN</v>
      </c>
      <c r="B279" s="15" t="s">
        <v>131</v>
      </c>
      <c r="C279" s="15" t="s">
        <v>112</v>
      </c>
      <c r="D279" s="15" t="s">
        <v>295</v>
      </c>
    </row>
    <row r="280" spans="1:4" ht="14.45" x14ac:dyDescent="0.3">
      <c r="A280" t="str">
        <f t="shared" si="4"/>
        <v>TUGUSUMBERJOPETERONGAN</v>
      </c>
      <c r="B280" s="15" t="s">
        <v>131</v>
      </c>
      <c r="C280" s="15" t="s">
        <v>112</v>
      </c>
      <c r="D280" s="15" t="s">
        <v>390</v>
      </c>
    </row>
    <row r="281" spans="1:4" ht="14.45" x14ac:dyDescent="0.3">
      <c r="A281" t="str">
        <f t="shared" si="4"/>
        <v>KEBONTEMUPETERONGAN</v>
      </c>
      <c r="B281" s="15" t="s">
        <v>131</v>
      </c>
      <c r="C281" s="15" t="s">
        <v>112</v>
      </c>
      <c r="D281" s="15" t="s">
        <v>296</v>
      </c>
    </row>
    <row r="282" spans="1:4" ht="14.45" x14ac:dyDescent="0.3">
      <c r="A282" t="str">
        <f t="shared" si="4"/>
        <v>TANJUNGGUNUNGPETERONGAN</v>
      </c>
      <c r="B282" s="15" t="s">
        <v>131</v>
      </c>
      <c r="C282" s="15" t="s">
        <v>112</v>
      </c>
      <c r="D282" s="15" t="s">
        <v>297</v>
      </c>
    </row>
    <row r="283" spans="1:4" ht="14.45" x14ac:dyDescent="0.3">
      <c r="A283" t="str">
        <f t="shared" si="4"/>
        <v>MOJONGAPITJOMBANG</v>
      </c>
      <c r="B283" s="15" t="s">
        <v>132</v>
      </c>
      <c r="C283" s="15" t="s">
        <v>101</v>
      </c>
      <c r="D283" s="15" t="s">
        <v>157</v>
      </c>
    </row>
    <row r="284" spans="1:4" ht="14.45" x14ac:dyDescent="0.3">
      <c r="A284" t="str">
        <f t="shared" si="4"/>
        <v>KEPATIHANJOMBANG</v>
      </c>
      <c r="B284" s="15" t="s">
        <v>132</v>
      </c>
      <c r="C284" s="15" t="s">
        <v>101</v>
      </c>
      <c r="D284" s="15" t="s">
        <v>298</v>
      </c>
    </row>
    <row r="285" spans="1:4" ht="14.45" x14ac:dyDescent="0.3">
      <c r="A285" t="str">
        <f t="shared" si="4"/>
        <v>NGLELESUMOBITO</v>
      </c>
      <c r="B285" s="15" t="s">
        <v>76</v>
      </c>
      <c r="C285" s="15" t="s">
        <v>103</v>
      </c>
      <c r="D285" s="15" t="s">
        <v>158</v>
      </c>
    </row>
    <row r="286" spans="1:4" ht="14.45" x14ac:dyDescent="0.3">
      <c r="A286" t="str">
        <f t="shared" si="4"/>
        <v>BUDUGSIDOREJOSUMOBITO</v>
      </c>
      <c r="B286" s="15" t="s">
        <v>76</v>
      </c>
      <c r="C286" s="15" t="s">
        <v>103</v>
      </c>
      <c r="D286" s="15" t="s">
        <v>299</v>
      </c>
    </row>
    <row r="287" spans="1:4" ht="14.45" x14ac:dyDescent="0.3">
      <c r="A287" t="str">
        <f t="shared" si="4"/>
        <v>WATUDAKONKESAMBEN</v>
      </c>
      <c r="B287" s="15" t="s">
        <v>76</v>
      </c>
      <c r="C287" s="15" t="s">
        <v>116</v>
      </c>
      <c r="D287" s="15" t="s">
        <v>159</v>
      </c>
    </row>
    <row r="288" spans="1:4" ht="14.45" x14ac:dyDescent="0.3">
      <c r="A288" t="str">
        <f t="shared" si="4"/>
        <v>CARANGREJOKESAMBEN</v>
      </c>
      <c r="B288" s="15" t="s">
        <v>76</v>
      </c>
      <c r="C288" s="15" t="s">
        <v>116</v>
      </c>
      <c r="D288" s="15" t="s">
        <v>300</v>
      </c>
    </row>
    <row r="289" spans="1:4" ht="14.45" x14ac:dyDescent="0.3">
      <c r="A289" t="str">
        <f t="shared" si="4"/>
        <v>PLANDAANPLANDAAN</v>
      </c>
      <c r="B289" s="15" t="s">
        <v>76</v>
      </c>
      <c r="C289" s="15" t="s">
        <v>133</v>
      </c>
      <c r="D289" s="15" t="s">
        <v>133</v>
      </c>
    </row>
    <row r="290" spans="1:4" ht="14.45" x14ac:dyDescent="0.3">
      <c r="A290" t="str">
        <f t="shared" si="4"/>
        <v>BANGSRIPLANDAAN</v>
      </c>
      <c r="B290" s="15" t="s">
        <v>76</v>
      </c>
      <c r="C290" s="15" t="s">
        <v>133</v>
      </c>
      <c r="D290" s="15" t="s">
        <v>391</v>
      </c>
    </row>
    <row r="291" spans="1:4" ht="14.45" x14ac:dyDescent="0.3">
      <c r="A291" t="str">
        <f t="shared" si="4"/>
        <v>DARUREJOPLANDAAN</v>
      </c>
      <c r="B291" s="15" t="s">
        <v>76</v>
      </c>
      <c r="C291" s="15" t="s">
        <v>133</v>
      </c>
      <c r="D291" s="15" t="s">
        <v>392</v>
      </c>
    </row>
    <row r="292" spans="1:4" ht="14.45" x14ac:dyDescent="0.3">
      <c r="A292" t="str">
        <f t="shared" si="4"/>
        <v>GEBANG BUNDERPLANDAAN</v>
      </c>
      <c r="B292" s="15" t="s">
        <v>76</v>
      </c>
      <c r="C292" s="15" t="s">
        <v>133</v>
      </c>
      <c r="D292" s="15" t="s">
        <v>393</v>
      </c>
    </row>
    <row r="293" spans="1:4" ht="14.45" x14ac:dyDescent="0.3">
      <c r="A293" t="str">
        <f t="shared" si="4"/>
        <v>JATIMLEREKPLANDAAN</v>
      </c>
      <c r="B293" s="15" t="s">
        <v>76</v>
      </c>
      <c r="C293" s="15" t="s">
        <v>133</v>
      </c>
      <c r="D293" s="15" t="s">
        <v>394</v>
      </c>
    </row>
    <row r="294" spans="1:4" ht="14.45" x14ac:dyDescent="0.3">
      <c r="A294" t="str">
        <f t="shared" si="4"/>
        <v>JIPURAPAHPLANDAAN</v>
      </c>
      <c r="B294" s="15" t="s">
        <v>76</v>
      </c>
      <c r="C294" s="15" t="s">
        <v>133</v>
      </c>
      <c r="D294" s="15" t="s">
        <v>395</v>
      </c>
    </row>
    <row r="295" spans="1:4" ht="14.45" x14ac:dyDescent="0.3">
      <c r="A295" t="str">
        <f t="shared" si="4"/>
        <v>KAMPUNG BARUPLANDAAN</v>
      </c>
      <c r="B295" s="15" t="s">
        <v>76</v>
      </c>
      <c r="C295" s="15" t="s">
        <v>133</v>
      </c>
      <c r="D295" s="15" t="s">
        <v>396</v>
      </c>
    </row>
    <row r="296" spans="1:4" ht="14.45" x14ac:dyDescent="0.3">
      <c r="A296" t="str">
        <f t="shared" si="4"/>
        <v>KARANG MOJOPLANDAAN</v>
      </c>
      <c r="B296" s="15" t="s">
        <v>76</v>
      </c>
      <c r="C296" s="15" t="s">
        <v>133</v>
      </c>
      <c r="D296" s="15" t="s">
        <v>397</v>
      </c>
    </row>
    <row r="297" spans="1:4" ht="14.45" x14ac:dyDescent="0.3">
      <c r="A297" t="str">
        <f t="shared" si="4"/>
        <v>KLITIHPLANDAAN</v>
      </c>
      <c r="B297" s="15" t="s">
        <v>76</v>
      </c>
      <c r="C297" s="15" t="s">
        <v>133</v>
      </c>
      <c r="D297" s="15" t="s">
        <v>398</v>
      </c>
    </row>
    <row r="298" spans="1:4" ht="14.45" x14ac:dyDescent="0.3">
      <c r="A298" t="str">
        <f t="shared" si="4"/>
        <v>PLABUHANPLANDAAN</v>
      </c>
      <c r="B298" s="15" t="s">
        <v>76</v>
      </c>
      <c r="C298" s="15" t="s">
        <v>133</v>
      </c>
      <c r="D298" s="15" t="s">
        <v>399</v>
      </c>
    </row>
    <row r="299" spans="1:4" ht="14.45" x14ac:dyDescent="0.3">
      <c r="A299" t="str">
        <f t="shared" si="4"/>
        <v>PURI SEMANDINGPLANDAAN</v>
      </c>
      <c r="B299" s="15" t="s">
        <v>76</v>
      </c>
      <c r="C299" s="15" t="s">
        <v>133</v>
      </c>
      <c r="D299" s="15" t="s">
        <v>400</v>
      </c>
    </row>
    <row r="300" spans="1:4" ht="14.45" x14ac:dyDescent="0.3">
      <c r="A300" t="str">
        <f t="shared" si="4"/>
        <v>SUMBEREJOPLANDAAN</v>
      </c>
      <c r="B300" s="15" t="s">
        <v>76</v>
      </c>
      <c r="C300" s="15" t="s">
        <v>133</v>
      </c>
      <c r="D300" s="15" t="s">
        <v>263</v>
      </c>
    </row>
    <row r="301" spans="1:4" ht="14.45" x14ac:dyDescent="0.3">
      <c r="A301" t="str">
        <f t="shared" si="4"/>
        <v>TONDOWULANPLANDAAN</v>
      </c>
      <c r="B301" s="15" t="s">
        <v>76</v>
      </c>
      <c r="C301" s="15" t="s">
        <v>133</v>
      </c>
      <c r="D301" s="15" t="s">
        <v>320</v>
      </c>
    </row>
    <row r="302" spans="1:4" ht="14.45" x14ac:dyDescent="0.3">
      <c r="A302" t="str">
        <f t="shared" si="4"/>
        <v>TANGGUNGANGUDO</v>
      </c>
      <c r="B302" s="15" t="s">
        <v>134</v>
      </c>
      <c r="C302" s="15" t="s">
        <v>99</v>
      </c>
      <c r="D302" s="15" t="s">
        <v>160</v>
      </c>
    </row>
    <row r="303" spans="1:4" ht="14.45" x14ac:dyDescent="0.3">
      <c r="A303" t="str">
        <f t="shared" si="4"/>
        <v>WANGKALKEPUHGUDO</v>
      </c>
      <c r="B303" s="15" t="s">
        <v>134</v>
      </c>
      <c r="C303" s="15" t="s">
        <v>99</v>
      </c>
      <c r="D303" s="15" t="s">
        <v>401</v>
      </c>
    </row>
    <row r="304" spans="1:4" ht="14.45" x14ac:dyDescent="0.3">
      <c r="A304" t="str">
        <f t="shared" si="4"/>
        <v>BUGASUR KDLMNGUDO</v>
      </c>
      <c r="B304" s="15" t="s">
        <v>134</v>
      </c>
      <c r="C304" s="15" t="s">
        <v>99</v>
      </c>
      <c r="D304" s="15" t="s">
        <v>448</v>
      </c>
    </row>
    <row r="305" spans="1:4" ht="14.45" x14ac:dyDescent="0.3">
      <c r="A305" t="str">
        <f t="shared" si="4"/>
        <v>KEDUNGPARIMOJOWARNO</v>
      </c>
      <c r="B305" s="15" t="s">
        <v>134</v>
      </c>
      <c r="C305" s="15" t="s">
        <v>0</v>
      </c>
      <c r="D305" s="15" t="s">
        <v>161</v>
      </c>
    </row>
    <row r="306" spans="1:4" ht="14.45" x14ac:dyDescent="0.3">
      <c r="A306" t="str">
        <f t="shared" si="4"/>
        <v>KARANGLOMOJOWARNO</v>
      </c>
      <c r="B306" s="15" t="s">
        <v>134</v>
      </c>
      <c r="C306" s="15" t="s">
        <v>0</v>
      </c>
      <c r="D306" s="15" t="s">
        <v>301</v>
      </c>
    </row>
    <row r="307" spans="1:4" ht="14.45" x14ac:dyDescent="0.3">
      <c r="A307" t="str">
        <f t="shared" si="4"/>
        <v>GROBOGANMOJOWARNO</v>
      </c>
      <c r="B307" s="15" t="s">
        <v>134</v>
      </c>
      <c r="C307" s="15" t="s">
        <v>0</v>
      </c>
      <c r="D307" s="15" t="s">
        <v>302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DF4CF3-13CD-4EA4-8AD7-90BF99BF80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SPOS</vt:lpstr>
      <vt:lpstr>NPP</vt:lpstr>
      <vt:lpstr>NTP</vt:lpstr>
      <vt:lpstr>user</vt:lpstr>
      <vt:lpstr>wilayahfix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Bachtiar Setyo</dc:creator>
  <cp:lastModifiedBy>acer</cp:lastModifiedBy>
  <dcterms:created xsi:type="dcterms:W3CDTF">2026-03-02T21:15:37Z</dcterms:created>
  <dcterms:modified xsi:type="dcterms:W3CDTF">2026-03-10T06:01:22Z</dcterms:modified>
</cp:coreProperties>
</file>